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LOGIN" sheetId="2" r:id="rId6"/>
    <sheet state="visible" name=" LOGIN REPORT" sheetId="3" r:id="rId7"/>
    <sheet state="visible" name="STAFF DATA" sheetId="4" r:id="rId8"/>
    <sheet state="visible" name="Sheet5" sheetId="5" r:id="rId9"/>
  </sheets>
  <definedNames/>
  <calcPr/>
</workbook>
</file>

<file path=xl/sharedStrings.xml><?xml version="1.0" encoding="utf-8"?>
<sst xmlns="http://schemas.openxmlformats.org/spreadsheetml/2006/main" count="9377" uniqueCount="3582">
  <si>
    <t>UNIQUE NO</t>
  </si>
  <si>
    <t>Email</t>
  </si>
  <si>
    <t>tIME STAMP</t>
  </si>
  <si>
    <t>Sr No.</t>
  </si>
  <si>
    <t>EMAIL_ID</t>
  </si>
  <si>
    <t>Name</t>
  </si>
  <si>
    <t>DATE</t>
  </si>
  <si>
    <t>Password</t>
  </si>
  <si>
    <t>NAME</t>
  </si>
  <si>
    <t>Role</t>
  </si>
  <si>
    <t>EMP ID</t>
  </si>
  <si>
    <t>Status</t>
  </si>
  <si>
    <t>IN</t>
  </si>
  <si>
    <t>Duty</t>
  </si>
  <si>
    <t>OUT</t>
  </si>
  <si>
    <t>Name of Teacher</t>
  </si>
  <si>
    <t>LOCATION (IN)</t>
  </si>
  <si>
    <t>LOCATION OUT)</t>
  </si>
  <si>
    <t>admin@admalc.in</t>
  </si>
  <si>
    <t>DISTANCE</t>
  </si>
  <si>
    <t>Father's Name</t>
  </si>
  <si>
    <t>UDAYBIR SINGH</t>
  </si>
  <si>
    <t>OUT STATUS</t>
  </si>
  <si>
    <t>BACK DATED</t>
  </si>
  <si>
    <t>Designation</t>
  </si>
  <si>
    <t>Super Admin</t>
  </si>
  <si>
    <t>RESON</t>
  </si>
  <si>
    <t>Active</t>
  </si>
  <si>
    <t>Admin</t>
  </si>
  <si>
    <t>Gender</t>
  </si>
  <si>
    <t>Qualification of Teacher</t>
  </si>
  <si>
    <t>Marriage Status</t>
  </si>
  <si>
    <t>Subject Taught</t>
  </si>
  <si>
    <t>principal@admalc.in</t>
  </si>
  <si>
    <t>Date of Birth of Teacher</t>
  </si>
  <si>
    <t>Blood Group</t>
  </si>
  <si>
    <t>Mobile No. of Teacher</t>
  </si>
  <si>
    <t>E-mail (Personal)</t>
  </si>
  <si>
    <t>SNo</t>
  </si>
  <si>
    <t>E-mail (Offical)</t>
  </si>
  <si>
    <t>Nature of appointment (Parmanenet/Temporary/Part-Time/Guest Faculty)</t>
  </si>
  <si>
    <t>College Joining Date</t>
  </si>
  <si>
    <t>Batch</t>
  </si>
  <si>
    <t>Course</t>
  </si>
  <si>
    <t>Aproval numer and Date from GNDU</t>
  </si>
  <si>
    <t>Studentid</t>
  </si>
  <si>
    <t>Total Teaching Experience</t>
  </si>
  <si>
    <t>Uni Roll No.</t>
  </si>
  <si>
    <t>PAN No. of Teacher (mandatory)</t>
  </si>
  <si>
    <t>Student Name</t>
  </si>
  <si>
    <t>Aadhar No. of Teacher (mandatory)</t>
  </si>
  <si>
    <t>Father name</t>
  </si>
  <si>
    <t>Address</t>
  </si>
  <si>
    <t>Subjects</t>
  </si>
  <si>
    <t>Mother Name</t>
  </si>
  <si>
    <t>allotedregn</t>
  </si>
  <si>
    <t>Student Phone Number</t>
  </si>
  <si>
    <t>Father Phone Number</t>
  </si>
  <si>
    <t>Dr. Avon Kumar Vaid</t>
  </si>
  <si>
    <t>Mother Phone Number</t>
  </si>
  <si>
    <t>DATE OF BIRTH</t>
  </si>
  <si>
    <t>SH. Mohan Lal Vaid</t>
  </si>
  <si>
    <t>E- Mail</t>
  </si>
  <si>
    <t>Principal</t>
  </si>
  <si>
    <t>Adress</t>
  </si>
  <si>
    <t>City</t>
  </si>
  <si>
    <t>Male</t>
  </si>
  <si>
    <t>State</t>
  </si>
  <si>
    <t>LL.M, UGC-NET, Ph.D.</t>
  </si>
  <si>
    <t>DR. AVON KUMAR VAID</t>
  </si>
  <si>
    <t>Pincode</t>
  </si>
  <si>
    <t>Martial Status</t>
  </si>
  <si>
    <t>category</t>
  </si>
  <si>
    <t>Law</t>
  </si>
  <si>
    <t>GENDER</t>
  </si>
  <si>
    <t>STATUS</t>
  </si>
  <si>
    <t>15.5.1980</t>
  </si>
  <si>
    <t>vp@admalc.in</t>
  </si>
  <si>
    <t>AB+ve</t>
  </si>
  <si>
    <t>Religion</t>
  </si>
  <si>
    <t>PMSS</t>
  </si>
  <si>
    <t>TEACHER NAME</t>
  </si>
  <si>
    <t>Aadhar Card (Front Side Photo)</t>
  </si>
  <si>
    <t>Aadhar Card (Back Side Photo)</t>
  </si>
  <si>
    <r>
      <rPr>
        <rFont val="Calibri, sans-serif"/>
        <color rgb="FF1155CC"/>
        <sz val="11.0"/>
        <u/>
      </rPr>
      <t>avonvaid@gmail.com</t>
    </r>
  </si>
  <si>
    <t>VP Name</t>
  </si>
  <si>
    <t>Upload ID- Card Photo</t>
  </si>
  <si>
    <t>Vice Principal</t>
  </si>
  <si>
    <t>LL.B (2022- 2025)University Roll Number</t>
  </si>
  <si>
    <t>Addhar card no</t>
  </si>
  <si>
    <t>faculty1@admalc.in</t>
  </si>
  <si>
    <t>EXAMINATION STATUS 1ST SEM</t>
  </si>
  <si>
    <t>EXAMINATION STATUS 2ND SEM</t>
  </si>
  <si>
    <t>EXAMINATION STATUS 3RD SEM</t>
  </si>
  <si>
    <t>EXAMINATION STATUS 4TH SEM</t>
  </si>
  <si>
    <t>EXAMINATION STATUS 5TH SEM</t>
  </si>
  <si>
    <t>EXAMINATION STATUS 6TH SEM</t>
  </si>
  <si>
    <t>Faculty Name</t>
  </si>
  <si>
    <t>Degree 1</t>
  </si>
  <si>
    <t>EXAMINATION STATUS 7TH SEM</t>
  </si>
  <si>
    <t>Faculty</t>
  </si>
  <si>
    <t>EXAMINATION STATUS 8TH SEM</t>
  </si>
  <si>
    <t>EXAMINATION STATUS 9TH SEM</t>
  </si>
  <si>
    <t>EXAMINATION STATUS 10TH SEM</t>
  </si>
  <si>
    <t>registrar@admalc.in</t>
  </si>
  <si>
    <t>FINAL DEGREE</t>
  </si>
  <si>
    <t>ATTENDANCE CERTIFICATE</t>
  </si>
  <si>
    <t>CHARCTER CERTIFICATE</t>
  </si>
  <si>
    <t>REMARKS</t>
  </si>
  <si>
    <r>
      <rPr>
        <rFont val="Calibri, sans-serif"/>
        <color rgb="FF1155CC"/>
        <sz val="11.0"/>
        <u/>
      </rPr>
      <t>principalalc@acetedu.in</t>
    </r>
  </si>
  <si>
    <t xml:space="preserve">MR. KARAMBIR SINGH </t>
  </si>
  <si>
    <t>Deputy Registrar</t>
  </si>
  <si>
    <t>library@admalc.in</t>
  </si>
  <si>
    <t>2024- 2029</t>
  </si>
  <si>
    <t>Permanent</t>
  </si>
  <si>
    <t>1.oct.2020</t>
  </si>
  <si>
    <t>BALLB</t>
  </si>
  <si>
    <t>3131-3132/ Date- 06/03/2023</t>
  </si>
  <si>
    <t>Librarian</t>
  </si>
  <si>
    <t>17 yrs</t>
  </si>
  <si>
    <t>Library</t>
  </si>
  <si>
    <t>ANMOL SINGH</t>
  </si>
  <si>
    <t>SURJIT SINGH</t>
  </si>
  <si>
    <t>ADWPV7511Q</t>
  </si>
  <si>
    <t>scholarship@admalc.in</t>
  </si>
  <si>
    <t>Sukhwinder kour</t>
  </si>
  <si>
    <t>F</t>
  </si>
  <si>
    <t>2021.VMS/A.7</t>
  </si>
  <si>
    <t>Mr. Karambir Singh</t>
  </si>
  <si>
    <t>Scholarship</t>
  </si>
  <si>
    <t>U@admalc.in</t>
  </si>
  <si>
    <t>Admin Name</t>
  </si>
  <si>
    <t>M.Tech</t>
  </si>
  <si>
    <t>anmolsingh20981@gmail.com</t>
  </si>
  <si>
    <t>Vallah Amritsar Punjab 143501</t>
  </si>
  <si>
    <t>Amritsar</t>
  </si>
  <si>
    <t>Punjab</t>
  </si>
  <si>
    <t>Computer Application</t>
  </si>
  <si>
    <t>SC/ST</t>
  </si>
  <si>
    <r>
      <rPr>
        <color rgb="FF1155CC"/>
        <u/>
      </rPr>
      <t>legaladv@admalc.i</t>
    </r>
    <r>
      <rPr>
        <color rgb="FF1155CC"/>
      </rPr>
      <t>n</t>
    </r>
  </si>
  <si>
    <t>BOY</t>
  </si>
  <si>
    <t>UNMARRIED</t>
  </si>
  <si>
    <t>Amit Kumar</t>
  </si>
  <si>
    <t>B+</t>
  </si>
  <si>
    <t>Sikhs</t>
  </si>
  <si>
    <t>Law Officer</t>
  </si>
  <si>
    <t>MR. AMIT KUMAR</t>
  </si>
  <si>
    <r>
      <rPr>
        <color rgb="FF1155CC"/>
        <u/>
      </rPr>
      <t>amit@admalc.i</t>
    </r>
    <r>
      <rPr>
        <color rgb="FF1155CC"/>
      </rPr>
      <t>n</t>
    </r>
  </si>
  <si>
    <t>UU</t>
  </si>
  <si>
    <t>Ms. Manpreet Kaur lehal</t>
  </si>
  <si>
    <r>
      <rPr>
        <color rgb="FF1155CC"/>
      </rPr>
      <t>srsup</t>
    </r>
    <r>
      <rPr>
        <color rgb="FF1155CC"/>
        <u/>
      </rPr>
      <t>@admalc.i</t>
    </r>
    <r>
      <rPr>
        <color rgb="FF1155CC"/>
      </rPr>
      <t>n</t>
    </r>
  </si>
  <si>
    <t>396671272572</t>
  </si>
  <si>
    <t xml:space="preserve">Parvesh </t>
  </si>
  <si>
    <t>S. Gurbachan Singh</t>
  </si>
  <si>
    <t>Superintendent</t>
  </si>
  <si>
    <t>Assistant Professor</t>
  </si>
  <si>
    <t>Female</t>
  </si>
  <si>
    <t>LL.M, UGC-NET, PHD PURSUING</t>
  </si>
  <si>
    <t>18.4.1990</t>
  </si>
  <si>
    <t>B+ve</t>
  </si>
  <si>
    <t>SHAZNOOR SINGH</t>
  </si>
  <si>
    <t>MAJOR SINGH</t>
  </si>
  <si>
    <r>
      <rPr>
        <rFont val="Calibri, sans-serif"/>
        <color rgb="FF1155CC"/>
        <sz val="11.0"/>
        <u/>
      </rPr>
      <t>lehal.mk90@gmail.com</t>
    </r>
  </si>
  <si>
    <t>Mandeep kaur</t>
  </si>
  <si>
    <t>M</t>
  </si>
  <si>
    <t>2022.ALC/A.41</t>
  </si>
  <si>
    <r>
      <rPr>
        <rFont val="Calibri, sans-serif"/>
        <color rgb="FF1155CC"/>
        <sz val="11.0"/>
        <u/>
      </rPr>
      <t>manpreetk.alc@acetedu.in/ agcedu.in</t>
    </r>
  </si>
  <si>
    <t>Shaznoorsingh@gmail.com</t>
  </si>
  <si>
    <t>7 Macchi nangal Amritsar Punjab 143001</t>
  </si>
  <si>
    <t>GENERAL</t>
  </si>
  <si>
    <t>6876-77/ Date- 14/08/2024</t>
  </si>
  <si>
    <t>4.5 yrs</t>
  </si>
  <si>
    <t>BYZPK3016J</t>
  </si>
  <si>
    <t>Dr. Amanpreet Kaur</t>
  </si>
  <si>
    <t>S. Yadwinder singh</t>
  </si>
  <si>
    <t>343393403417</t>
  </si>
  <si>
    <t>LL.M, Ph.D</t>
  </si>
  <si>
    <t>29.6.1983</t>
  </si>
  <si>
    <t>ARSHPREET KAUR</t>
  </si>
  <si>
    <t>MANJIT SINGH</t>
  </si>
  <si>
    <t>Paramjit kaur</t>
  </si>
  <si>
    <r>
      <rPr>
        <rFont val="Calibri, sans-serif"/>
        <color rgb="FF1155CC"/>
        <sz val="11.0"/>
        <u/>
      </rPr>
      <t>aman_batala15@yahoo.in</t>
    </r>
  </si>
  <si>
    <t>2024.ALC/A.8</t>
  </si>
  <si>
    <t>arshpreekour410@gmail.com</t>
  </si>
  <si>
    <t>Houseno.77 new janta colony Sultanwind daburji link road</t>
  </si>
  <si>
    <r>
      <rPr>
        <rFont val="Calibri, sans-serif"/>
        <color rgb="FF1155CC"/>
        <sz val="11.0"/>
        <u/>
      </rPr>
      <t>draman.alc@acetedu.in/ agcedu.in</t>
    </r>
  </si>
  <si>
    <t>143001</t>
  </si>
  <si>
    <t>GIRL</t>
  </si>
  <si>
    <t>B +</t>
  </si>
  <si>
    <t>6874- 75/ Date- 14/08/2024</t>
  </si>
  <si>
    <t>2.5 yrs</t>
  </si>
  <si>
    <t>DZKPK9713A</t>
  </si>
  <si>
    <t>521371776065</t>
  </si>
  <si>
    <t>Ms. Shefali</t>
  </si>
  <si>
    <t>S. Harinderpal Singh</t>
  </si>
  <si>
    <t>MA (English), UGC-NET</t>
  </si>
  <si>
    <t>Single</t>
  </si>
  <si>
    <t>English</t>
  </si>
  <si>
    <t>12.9.1997</t>
  </si>
  <si>
    <t>HARPREET SINGH BHATTI</t>
  </si>
  <si>
    <t>RAJA SINGH</t>
  </si>
  <si>
    <r>
      <rPr>
        <rFont val="Calibri, sans-serif"/>
        <color rgb="FF1155CC"/>
        <sz val="11.0"/>
        <u/>
      </rPr>
      <t>shefalibassi1997@gmail.com</t>
    </r>
  </si>
  <si>
    <t>Karamjeet kaur</t>
  </si>
  <si>
    <t>2024.ALC/A.62</t>
  </si>
  <si>
    <t>Anshbhatti269@gmail.com</t>
  </si>
  <si>
    <t>Veela teja Fatehgarh churrian Punjab 143513</t>
  </si>
  <si>
    <t>Fatehgarh churrian</t>
  </si>
  <si>
    <r>
      <rPr>
        <rFont val="Calibri, sans-serif"/>
        <color rgb="FF1155CC"/>
        <sz val="11.0"/>
        <u/>
      </rPr>
      <t>shefali.alc@acetedu.in /agcedu.in</t>
    </r>
  </si>
  <si>
    <t>O+</t>
  </si>
  <si>
    <t>23.may.2023</t>
  </si>
  <si>
    <t>6872- 73/ Date- 13/08/2024</t>
  </si>
  <si>
    <t>8 months</t>
  </si>
  <si>
    <t>KZEPS9239C</t>
  </si>
  <si>
    <t>847051500473</t>
  </si>
  <si>
    <t>Dr. Shivani Arora</t>
  </si>
  <si>
    <t>Sh. Sham Sundar</t>
  </si>
  <si>
    <t>LL.M.</t>
  </si>
  <si>
    <t>RANBIR SINGH</t>
  </si>
  <si>
    <t>SUKHPAL SINGH</t>
  </si>
  <si>
    <t>1.11.1986</t>
  </si>
  <si>
    <t>Sarabjit Kaur</t>
  </si>
  <si>
    <t>A+ve</t>
  </si>
  <si>
    <t>2024.ALC/A.107</t>
  </si>
  <si>
    <r>
      <rPr>
        <rFont val="Calibri, sans-serif"/>
        <color rgb="FF1155CC"/>
        <sz val="11.0"/>
        <u/>
      </rPr>
      <t>shivani.chojer@gmail.com</t>
    </r>
  </si>
  <si>
    <t>Alc@12345678</t>
  </si>
  <si>
    <t>ranbirji0809@gmail.com</t>
  </si>
  <si>
    <t>81-b Kanwar Avenue Amritsar Punjab 143001</t>
  </si>
  <si>
    <r>
      <rPr>
        <rFont val="Calibri, sans-serif"/>
        <color rgb="FF1155CC"/>
        <sz val="11.0"/>
        <u/>
      </rPr>
      <t>shivani.alc@acetedu.in / agcedu.in</t>
    </r>
  </si>
  <si>
    <t>Adhoc</t>
  </si>
  <si>
    <t>A+</t>
  </si>
  <si>
    <t>2.3 yrs</t>
  </si>
  <si>
    <t>BQVPS3344F</t>
  </si>
  <si>
    <t>Mr. Amit Kumar</t>
  </si>
  <si>
    <t>Surinder Kumar</t>
  </si>
  <si>
    <t>708740113121</t>
  </si>
  <si>
    <t>BCOM, LL.B, LLM</t>
  </si>
  <si>
    <t>SAVITA DEVI</t>
  </si>
  <si>
    <t>02.02.1993</t>
  </si>
  <si>
    <t>AJIT KUMAR</t>
  </si>
  <si>
    <t>Anju Bala</t>
  </si>
  <si>
    <t>2023.ALC/A.9</t>
  </si>
  <si>
    <t>advocateamitkumar24@gmail.com</t>
  </si>
  <si>
    <t>Father's name</t>
  </si>
  <si>
    <t>malikameenia616@gmail.com</t>
  </si>
  <si>
    <t>1.July.2023</t>
  </si>
  <si>
    <t>P.O NAROT JAIMAL SINGH TEHSIL AND DISTT PATHANKOT VILL BAHADURPUR,PATHANKOT,PUNJAB-145026</t>
  </si>
  <si>
    <t>Pathankot</t>
  </si>
  <si>
    <t>3year</t>
  </si>
  <si>
    <t>143026</t>
  </si>
  <si>
    <t>JAFPK7001F</t>
  </si>
  <si>
    <t>O +</t>
  </si>
  <si>
    <t>Hindus</t>
  </si>
  <si>
    <t>Ms. Savita Sharma</t>
  </si>
  <si>
    <t>S. Satish Sharma</t>
  </si>
  <si>
    <t>LL.M</t>
  </si>
  <si>
    <t>337619342047</t>
  </si>
  <si>
    <t>17.12.1992</t>
  </si>
  <si>
    <t>O+ve</t>
  </si>
  <si>
    <r>
      <rPr>
        <rFont val="Calibri, sans-serif"/>
        <color rgb="FF1155CC"/>
        <sz val="11.0"/>
        <u/>
      </rPr>
      <t>savuu661@gmail.com</t>
    </r>
  </si>
  <si>
    <t>ARSHDEEP KAUR</t>
  </si>
  <si>
    <t>GURMEJ SINGH</t>
  </si>
  <si>
    <t>Kanwaljeet kaur</t>
  </si>
  <si>
    <t>2023.ALC/A.14</t>
  </si>
  <si>
    <r>
      <rPr>
        <rFont val="Calibri, sans-serif"/>
        <color rgb="FF1155CC"/>
        <sz val="11.0"/>
        <u/>
      </rPr>
      <t>savita.alc@acetedu.in /agcedu.in</t>
    </r>
  </si>
  <si>
    <t>arsh@1234</t>
  </si>
  <si>
    <t>2025- 2030</t>
  </si>
  <si>
    <t>1.5 YRS</t>
  </si>
  <si>
    <t>DUGPS7164Q</t>
  </si>
  <si>
    <t>ashuu1188@gmail.com</t>
  </si>
  <si>
    <t>38 Rakhjhita, Amritsar. Amritsar Punjab Punjab.14313</t>
  </si>
  <si>
    <t>Ms. Ankita Joshi</t>
  </si>
  <si>
    <t>Manmohal Joshi</t>
  </si>
  <si>
    <t>Punjab.14313</t>
  </si>
  <si>
    <t>ANUKDEEP KAUR</t>
  </si>
  <si>
    <t>B.A. LL.B, LL.M, PHD PURSUING</t>
  </si>
  <si>
    <t>BALJEET SINGH</t>
  </si>
  <si>
    <t>Balwinder Kaur</t>
  </si>
  <si>
    <t>13.09.1997</t>
  </si>
  <si>
    <t>2025.ALC/A.68</t>
  </si>
  <si>
    <r>
      <rPr>
        <rFont val="Calibri, sans-serif"/>
        <color rgb="FF1155CC"/>
        <sz val="11.0"/>
        <u/>
      </rPr>
      <t>ankitajoshi238@gmail.com</t>
    </r>
  </si>
  <si>
    <r>
      <rPr>
        <rFont val="Calibri, sans-serif"/>
        <color rgb="FF1155CC"/>
        <sz val="11.0"/>
        <u/>
      </rPr>
      <t>ankita.alc@acetedu.in /agcedu.in</t>
    </r>
  </si>
  <si>
    <t>Jatta,, Tarn- Taran</t>
  </si>
  <si>
    <t>991827219965</t>
  </si>
  <si>
    <t>1.1 yrs</t>
  </si>
  <si>
    <t>CBOPJ7479M</t>
  </si>
  <si>
    <t>SHUBHKARMANPREET SINGH</t>
  </si>
  <si>
    <t>NAVDEEP SINGH</t>
  </si>
  <si>
    <t>SARBJEET KAUR</t>
  </si>
  <si>
    <t>Ms. Harmanjot Kaur</t>
  </si>
  <si>
    <t>Rajwinder Singh</t>
  </si>
  <si>
    <t>2023.NZ / .1718</t>
  </si>
  <si>
    <t>123456</t>
  </si>
  <si>
    <t>B.A.LL.B, LL.M, UGC-NET, PHD PURSUING</t>
  </si>
  <si>
    <t>shubhpreet2003@gmail.com</t>
  </si>
  <si>
    <t>DINEWAL,TARN TARAN,PUNJAB-143406</t>
  </si>
  <si>
    <t>TARN TARAN</t>
  </si>
  <si>
    <t>PUNJAB</t>
  </si>
  <si>
    <t>143406</t>
  </si>
  <si>
    <t>RAMANDEEP KAUR</t>
  </si>
  <si>
    <t>SUKHDEV SINGH</t>
  </si>
  <si>
    <r>
      <rPr>
        <rFont val="Calibri, sans-serif"/>
        <color rgb="FF1155CC"/>
        <sz val="11.0"/>
        <u/>
      </rPr>
      <t>harmanjotbajwa777@gmail.com</t>
    </r>
  </si>
  <si>
    <t>Jaswinder Kaur</t>
  </si>
  <si>
    <t>2025.ALC/A.11</t>
  </si>
  <si>
    <r>
      <rPr>
        <rFont val="Calibri, sans-serif"/>
        <color rgb="FF1155CC"/>
        <sz val="11.0"/>
        <u/>
      </rPr>
      <t>harmanjot.alc@acetedu.in /agcedu.in</t>
    </r>
  </si>
  <si>
    <t>596837074416</t>
  </si>
  <si>
    <t>Bhikhiwind,, Tarn- Taran</t>
  </si>
  <si>
    <t>KIRANDEEP KAUR</t>
  </si>
  <si>
    <t>FXTPK2637G</t>
  </si>
  <si>
    <t>HARJIT SINGH</t>
  </si>
  <si>
    <t>Parmjit Kaur</t>
  </si>
  <si>
    <t>Dr.Kiranpreet Kaur</t>
  </si>
  <si>
    <t>2023.NZ / .1308</t>
  </si>
  <si>
    <t>S. Harpreet singh</t>
  </si>
  <si>
    <t>MA SOCIOLGY, UGC-NET, PHD</t>
  </si>
  <si>
    <t>kirandeepkamboj929@gmail.com</t>
  </si>
  <si>
    <t>House no. 51 ,Village Rakh Jhita, PO Jhita kalan Amritsar , Punjab 143413 Village Rakh Jhita , PO Jhita kalan Amritsar , Punjab 143413 Amritsar Punjab 143413</t>
  </si>
  <si>
    <t>Sociology</t>
  </si>
  <si>
    <t>HARMANPREET SINGH</t>
  </si>
  <si>
    <t>KULDEEP SINGH</t>
  </si>
  <si>
    <t>24.12.1994</t>
  </si>
  <si>
    <t>Gurwinder Kaur</t>
  </si>
  <si>
    <t>OBC</t>
  </si>
  <si>
    <t>2025.ALC/A.49</t>
  </si>
  <si>
    <r>
      <rPr>
        <rFont val="Calibri, sans-serif"/>
        <color rgb="FF1155CC"/>
        <sz val="11.0"/>
        <u/>
      </rPr>
      <t>Kiranarora599@gmail.com</t>
    </r>
  </si>
  <si>
    <t>Pati Das Ki,Bikhiwind,, Tarn- Taran</t>
  </si>
  <si>
    <r>
      <rPr>
        <rFont val="Calibri, sans-serif"/>
        <color rgb="FF1155CC"/>
        <sz val="11.0"/>
        <u/>
      </rPr>
      <t>drkiran.alc@acetedu.in /agcedu.in</t>
    </r>
  </si>
  <si>
    <t>503130584905</t>
  </si>
  <si>
    <t>1.july.2025</t>
  </si>
  <si>
    <t>NONE</t>
  </si>
  <si>
    <t>HLDPK5773H</t>
  </si>
  <si>
    <t>PRANEY SHARMA</t>
  </si>
  <si>
    <t>DAMAN BHALLA</t>
  </si>
  <si>
    <t>RUPALI SHARMA</t>
  </si>
  <si>
    <t>Ms.Manvi Badyal</t>
  </si>
  <si>
    <t>Sh. Bhubneshwar</t>
  </si>
  <si>
    <t>2024.ALC/A.108</t>
  </si>
  <si>
    <t>SOURAV</t>
  </si>
  <si>
    <t>BA.LL.B, LL.M, UGC-NET,PHD (PURSUING)</t>
  </si>
  <si>
    <t>SWAMI</t>
  </si>
  <si>
    <t>Krishna</t>
  </si>
  <si>
    <t>25-12-2005</t>
  </si>
  <si>
    <t>31.08.1999</t>
  </si>
  <si>
    <t>2024.ALC/A.63</t>
  </si>
  <si>
    <t>Praneysharma2005@gmail.com</t>
  </si>
  <si>
    <t>27 hno. Suraj avenue fatehgarh churian road amritsar near Hanuman mandir Amritsar Amritsar Punjab 143001</t>
  </si>
  <si>
    <r>
      <rPr>
        <rFont val="Calibri, sans-serif"/>
        <color rgb="FF1155CC"/>
        <sz val="11.0"/>
        <u/>
      </rPr>
      <t>manvibadyal07@gmail.com</t>
    </r>
  </si>
  <si>
    <r>
      <rPr>
        <rFont val="Calibri, sans-serif"/>
        <color rgb="FF1155CC"/>
        <sz val="11.0"/>
        <u/>
      </rPr>
      <t>manvi.alc@acetedu.in / agcedu.in</t>
    </r>
  </si>
  <si>
    <t>Professor colony Majitha road, Amritsar</t>
  </si>
  <si>
    <t>EMRPB5644G</t>
  </si>
  <si>
    <t>Ms.Nitasha Mahajan</t>
  </si>
  <si>
    <t>Sh. Naveen kumar</t>
  </si>
  <si>
    <t>BB.A, LL.B, LL.M,UGC-NET</t>
  </si>
  <si>
    <t>02.03.1998</t>
  </si>
  <si>
    <r>
      <rPr>
        <rFont val="Calibri, sans-serif"/>
        <color rgb="FF1155CC"/>
        <sz val="11.0"/>
        <u/>
      </rPr>
      <t>mahajan.nitasha1998@gmail.com</t>
    </r>
  </si>
  <si>
    <t>HARJINDER SINGH</t>
  </si>
  <si>
    <t>Parveen kaur</t>
  </si>
  <si>
    <t>2024.ALC/A.10</t>
  </si>
  <si>
    <r>
      <rPr>
        <rFont val="Calibri, sans-serif"/>
        <color rgb="FF1155CC"/>
        <sz val="11.0"/>
        <u/>
      </rPr>
      <t>nitasha.alc@acetedu.in / agcedu.in</t>
    </r>
  </si>
  <si>
    <t>ROMANPREET KAUR</t>
  </si>
  <si>
    <t>KULWANT SINGH</t>
  </si>
  <si>
    <t>Harjinder Kaur</t>
  </si>
  <si>
    <t>BSFPN5048B</t>
  </si>
  <si>
    <t>harjindero931@gmail.com</t>
  </si>
  <si>
    <t>2025.ALC/A.12</t>
  </si>
  <si>
    <t>Rampura pind Village Amritsar Punjab 143001</t>
  </si>
  <si>
    <t>Ms. Gunpreet Kaur Kamboj</t>
  </si>
  <si>
    <t>LLM</t>
  </si>
  <si>
    <t>28.10.1991</t>
  </si>
  <si>
    <t>Bagrian,, Tarn- Taran</t>
  </si>
  <si>
    <t>CCGPK1603R</t>
  </si>
  <si>
    <t>Ms. Arshpreet Kaur Sodhi</t>
  </si>
  <si>
    <t>2.3.1992</t>
  </si>
  <si>
    <t>341660154804</t>
  </si>
  <si>
    <t>10 months</t>
  </si>
  <si>
    <t>BNJPB3855M</t>
  </si>
  <si>
    <t>Ms.Rajmeet Kaur</t>
  </si>
  <si>
    <t>Surinder Singh</t>
  </si>
  <si>
    <t>Punajbi</t>
  </si>
  <si>
    <t>13.09.1990</t>
  </si>
  <si>
    <t>AVNI</t>
  </si>
  <si>
    <t>BALBIR SINGH</t>
  </si>
  <si>
    <t>rajmeetkaur11@gmail.com</t>
  </si>
  <si>
    <t>SIMRANJIT SINGH</t>
  </si>
  <si>
    <t>SHARMILA DEVI</t>
  </si>
  <si>
    <t>BHUPINDER SINGH</t>
  </si>
  <si>
    <t>Navjot Kaur</t>
  </si>
  <si>
    <t>2024.CS /A.194</t>
  </si>
  <si>
    <t>7.August.2025</t>
  </si>
  <si>
    <t>CBBPK0284G</t>
  </si>
  <si>
    <t>2024.ALC/A.86</t>
  </si>
  <si>
    <t>Kohala ,, Amritsar</t>
  </si>
  <si>
    <t>Mr.Surinder Singh</t>
  </si>
  <si>
    <t>S. Darshan singh</t>
  </si>
  <si>
    <t>M.A Economic,UGC-NET, PHD PURSUING</t>
  </si>
  <si>
    <t>avnijasrotia22@gmail.com</t>
  </si>
  <si>
    <t>Economic</t>
  </si>
  <si>
    <t>09.10.1992</t>
  </si>
  <si>
    <t>Village.Niari,P.o Bhatwan, Teh. Dharkalan, dist. Pathankot</t>
  </si>
  <si>
    <t>98147 47811</t>
  </si>
  <si>
    <r>
      <rPr>
        <rFont val="Calibri, sans-serif"/>
        <color rgb="FF1155CC"/>
        <sz val="11.0"/>
        <u/>
      </rPr>
      <t>Surindersinghmanan@gmail.com</t>
    </r>
  </si>
  <si>
    <t>145022</t>
  </si>
  <si>
    <t>274935420072</t>
  </si>
  <si>
    <t>BHOOMIKA</t>
  </si>
  <si>
    <t>DARSHAN LAL</t>
  </si>
  <si>
    <t>Surinder Kaur</t>
  </si>
  <si>
    <t>2025.ALC/A.13</t>
  </si>
  <si>
    <t>GVGPS4382L</t>
  </si>
  <si>
    <t>SUKHMANI KAUR</t>
  </si>
  <si>
    <t>SIKANDER SINGH</t>
  </si>
  <si>
    <t>Mr. Udaybir Singh</t>
  </si>
  <si>
    <t>S. Amolak Singh</t>
  </si>
  <si>
    <t>Clerk</t>
  </si>
  <si>
    <t>H.no-2505,Gali no-26,Meharpura,, Amritsar</t>
  </si>
  <si>
    <t>2024.ALC/A.23</t>
  </si>
  <si>
    <t>DIPLOMA ADCIT, BCA (Pursuing)</t>
  </si>
  <si>
    <t>sukhdeherke@gmail.com</t>
  </si>
  <si>
    <r>
      <rPr>
        <rFont val="Calibri, sans-serif"/>
        <color rgb="FF1155CC"/>
        <sz val="11.0"/>
        <u/>
      </rPr>
      <t>udaybirsinghjammu@gmail.com</t>
    </r>
  </si>
  <si>
    <t>Near Baba Jivan Singh wala Gurdwara,Aklia jalal,Bathinda</t>
  </si>
  <si>
    <t>Bathinda</t>
  </si>
  <si>
    <t>151108</t>
  </si>
  <si>
    <r>
      <rPr>
        <rFont val="Calibri, sans-serif"/>
        <color rgb="FF1155CC"/>
        <sz val="11.0"/>
        <u/>
      </rPr>
      <t>adminalc@acetedu.in</t>
    </r>
  </si>
  <si>
    <t>HARJASHAN SINGH MANNAN</t>
  </si>
  <si>
    <t>MANPREET SINGH MANNAN</t>
  </si>
  <si>
    <t>982238339539</t>
  </si>
  <si>
    <t>2024.BB /A.39</t>
  </si>
  <si>
    <t>Mr. Jeevan Thapa</t>
  </si>
  <si>
    <t>ARMANPREET SINGH</t>
  </si>
  <si>
    <t>MANJINDER SINGH</t>
  </si>
  <si>
    <t>No-1 A ,Kashmir Aveue,..Near Gopal Mandir,, Amritsar</t>
  </si>
  <si>
    <t>Sh, Balwant Raj Thapa</t>
  </si>
  <si>
    <t>Kulwinder kaur</t>
  </si>
  <si>
    <t>2024.ALC/A.66</t>
  </si>
  <si>
    <t>MSC Computer Science</t>
  </si>
  <si>
    <t>28.08,.1983</t>
  </si>
  <si>
    <t>Armansran72@gmail.com</t>
  </si>
  <si>
    <r>
      <rPr>
        <rFont val="Calibri, sans-serif"/>
        <color rgb="FF1155CC"/>
        <sz val="11.0"/>
        <u/>
      </rPr>
      <t>jeewantahpa0010@gmail.com</t>
    </r>
  </si>
  <si>
    <t>Fateh chak Tarn Taran Punjab 143401</t>
  </si>
  <si>
    <t>Tarn Taran</t>
  </si>
  <si>
    <t>19.july.2025</t>
  </si>
  <si>
    <t>ANUJOT KAUR</t>
  </si>
  <si>
    <t>GURSHARAN SINGH</t>
  </si>
  <si>
    <t>Amandeep Kaur</t>
  </si>
  <si>
    <t>372862649898</t>
  </si>
  <si>
    <t>2025.ALC/A.14</t>
  </si>
  <si>
    <t>Ms. HAPPY</t>
  </si>
  <si>
    <t>Attendant</t>
  </si>
  <si>
    <t>10TH</t>
  </si>
  <si>
    <t>Villaga Bua Nangali, P.O.Adliwala, Bua Nangali, Amritsar</t>
  </si>
  <si>
    <t>GURPREET KAUR</t>
  </si>
  <si>
    <t>Pawandeep kaur</t>
  </si>
  <si>
    <t>2024.ALC/A.87</t>
  </si>
  <si>
    <t>gk5080019@gmail.com</t>
  </si>
  <si>
    <t>98 Majitha road,Nangal pannuan, Amritsar Nangal pannuan Amritsar Punjab 143601</t>
  </si>
  <si>
    <t>Mr. JASHANDEEP SINGH</t>
  </si>
  <si>
    <t>12TH B.A (PURSUING)</t>
  </si>
  <si>
    <t>MANVEER KAUR</t>
  </si>
  <si>
    <t>RAJ KUMAR</t>
  </si>
  <si>
    <t>815741482329</t>
  </si>
  <si>
    <t>Sukhwinder Kaur</t>
  </si>
  <si>
    <t>2024.NZ / .2753</t>
  </si>
  <si>
    <t>MEHREEN KAUR</t>
  </si>
  <si>
    <t>SANDEEP SINGH</t>
  </si>
  <si>
    <t>Late Manpreet kaur</t>
  </si>
  <si>
    <t>Mr HARDEEP SINGH</t>
  </si>
  <si>
    <t>Tehsil Gurdaspur,Sohal,, Gurdaspur</t>
  </si>
  <si>
    <t>2024.ALC/A.88</t>
  </si>
  <si>
    <t>12TH</t>
  </si>
  <si>
    <t>mehreensandhu751@gmail.com</t>
  </si>
  <si>
    <t>15/05/2000</t>
  </si>
  <si>
    <t>D/O Sandeep Singh Sandhu- Ward No 2,Garden Colony ,Patti, Tarn Taran ,Punjab Patti Patti Punjab 143416</t>
  </si>
  <si>
    <t>Patti</t>
  </si>
  <si>
    <t>harrygill9945@gmail.com</t>
  </si>
  <si>
    <t>6 Year</t>
  </si>
  <si>
    <t>VANDEEP KAUR</t>
  </si>
  <si>
    <t>Mr. Jobandeep Singh</t>
  </si>
  <si>
    <t>SUKHJINDER SINGH</t>
  </si>
  <si>
    <t>Gurwant Kaur</t>
  </si>
  <si>
    <t>Jaspal Singh</t>
  </si>
  <si>
    <t>539041597169</t>
  </si>
  <si>
    <t>2025.ALC/A.15</t>
  </si>
  <si>
    <t>19/09/2000</t>
  </si>
  <si>
    <t>AMRITPAL KAUR</t>
  </si>
  <si>
    <t>Near Guruduwara Baba Aala Singh, Abdal,, Amritsar</t>
  </si>
  <si>
    <t>Kashmir kaur</t>
  </si>
  <si>
    <r>
      <rPr>
        <rFont val="Calibri, sans-serif"/>
        <color rgb="FF1155CC"/>
        <sz val="11.0"/>
        <u/>
      </rPr>
      <t>jobanjohal147@gmail.com</t>
    </r>
  </si>
  <si>
    <t>2024.ALC/A.24</t>
  </si>
  <si>
    <t>amritkhehra019@gmail.com</t>
  </si>
  <si>
    <t>Vpo nagoke , distt Tarn taran Nagoke Amritsar Punjab 143117</t>
  </si>
  <si>
    <t>SUMANPREET KAUR</t>
  </si>
  <si>
    <t>RAGHVIR SINGH</t>
  </si>
  <si>
    <t xml:space="preserve">Mr. Parvesh Bhalla </t>
  </si>
  <si>
    <t>Harpreet Kaur</t>
  </si>
  <si>
    <t>Senior Office Superintendent</t>
  </si>
  <si>
    <t>2025.ALC/A.69</t>
  </si>
  <si>
    <t>M.A (Public Adminstration)</t>
  </si>
  <si>
    <t>465543251936</t>
  </si>
  <si>
    <t>Chattarpura,, Fatehgarh Sahib</t>
  </si>
  <si>
    <t>JASHANPREET KAUR</t>
  </si>
  <si>
    <t>SARBJIT SINGH</t>
  </si>
  <si>
    <t>NIRMALJIT KAUR</t>
  </si>
  <si>
    <t>2024.ALC/A.25</t>
  </si>
  <si>
    <t>jk5169367@gmail.com</t>
  </si>
  <si>
    <t>Ms. Anant Mehra</t>
  </si>
  <si>
    <t>V.P.O: TAKHTU CHAK , DISTT: TARN TARAN , TAKHTU CHAK Amritsar Punjab 143115</t>
  </si>
  <si>
    <t>Sh. Parminder SIngh</t>
  </si>
  <si>
    <t>B.A.LL.B| LL.M| UGC NET</t>
  </si>
  <si>
    <t>AB+</t>
  </si>
  <si>
    <t>anantmeera08@gmail.com</t>
  </si>
  <si>
    <t>13/07/2026</t>
  </si>
  <si>
    <t>SONIA RANI</t>
  </si>
  <si>
    <t>SHINDER SINGH</t>
  </si>
  <si>
    <t>688757923391</t>
  </si>
  <si>
    <t>Sumitra Rani</t>
  </si>
  <si>
    <t>2025.ALC/A.16</t>
  </si>
  <si>
    <t>Ms. Mehak</t>
  </si>
  <si>
    <t>HARSHIT TANEJA</t>
  </si>
  <si>
    <t>VIKAS TANEJA</t>
  </si>
  <si>
    <t>KIRAN TANEJA</t>
  </si>
  <si>
    <t>Vpo-Hazara Singh Wala,Mamdot Hithar,, Firozpur</t>
  </si>
  <si>
    <t>2024.ALC/A.68</t>
  </si>
  <si>
    <t>tanejaharshitharshit@gmail.com</t>
  </si>
  <si>
    <t>Hno.147, Gali Sethain Wali , Guru Bazar , Tarn-Taran Tarn-Taran Tarn-Taran Punjab 143401</t>
  </si>
  <si>
    <t>Tarn-Taran</t>
  </si>
  <si>
    <t>YUVRAJ SINGH</t>
  </si>
  <si>
    <t>ALAMBIR SINGH</t>
  </si>
  <si>
    <t>Kamaljit Kaur</t>
  </si>
  <si>
    <t>SIMARJEET KAUR</t>
  </si>
  <si>
    <t>2025.ALC/A.106</t>
  </si>
  <si>
    <t>BALDEV SINGH</t>
  </si>
  <si>
    <t>Harmeet kaur</t>
  </si>
  <si>
    <t>2024.ALC/A.26</t>
  </si>
  <si>
    <t>Simar@123</t>
  </si>
  <si>
    <t>Village-Pandori Ran Singh,, Tarn- Taran</t>
  </si>
  <si>
    <t>simarjeetk688@gmail.com</t>
  </si>
  <si>
    <t>H.no.2682/9 gali kasturian,Katra dulo, Amritsar 143001 Lohgarh Amritsar Punjab 143001</t>
  </si>
  <si>
    <t>GURSIRT KAUR</t>
  </si>
  <si>
    <t>588848891550</t>
  </si>
  <si>
    <t>GURBHEJ SINGH</t>
  </si>
  <si>
    <t>Varinder Kaur</t>
  </si>
  <si>
    <t>2025.ALC/A.70</t>
  </si>
  <si>
    <t>KHUSHBEEN KAUR</t>
  </si>
  <si>
    <t>Rajwant Kaur</t>
  </si>
  <si>
    <t>Plot no-13,Near St Solider School,Jyotisar Colony,Jandaiala Guru,, Amritsar</t>
  </si>
  <si>
    <t>2024.ALC/A.27</t>
  </si>
  <si>
    <t>Khushi#7890</t>
  </si>
  <si>
    <t>khushbeenk24@gmail.com</t>
  </si>
  <si>
    <t>Ajit Avenue, Majitha Road , Ward no.4, Fatehgarh Churian Fatehgarh Churian Fatehgarh Churian Punjab 143602</t>
  </si>
  <si>
    <t>Fatehgarh Churian</t>
  </si>
  <si>
    <t>JUJHAR SINGH</t>
  </si>
  <si>
    <t>Lakhwinder Kaur</t>
  </si>
  <si>
    <t>2025.ALC/A.107</t>
  </si>
  <si>
    <t>260680717401</t>
  </si>
  <si>
    <t>Toot,Tut,, Tarn- Taran</t>
  </si>
  <si>
    <t>RANDEEP KAUR</t>
  </si>
  <si>
    <t>LAKHBIR SINGH</t>
  </si>
  <si>
    <t>Harjeet kaur</t>
  </si>
  <si>
    <t>2024.ALC/A.29</t>
  </si>
  <si>
    <t>randeepkaurbleem@gmail.com</t>
  </si>
  <si>
    <t>155/5,Sarhali road chungi near Nanak puri gurdwara Patti Tarn Taran Punjab 143416</t>
  </si>
  <si>
    <t>SANIA KARORHIA</t>
  </si>
  <si>
    <t>VIJAY SINGH</t>
  </si>
  <si>
    <t>2025.ALC/A.17</t>
  </si>
  <si>
    <t>Village-Shahbazpur,Urmar,, Hoshiarpur</t>
  </si>
  <si>
    <t>375565198085</t>
  </si>
  <si>
    <t>ANISHA</t>
  </si>
  <si>
    <t>GORA SINGH</t>
  </si>
  <si>
    <t>Rajveer kaur</t>
  </si>
  <si>
    <t>2024.ALC/A.30</t>
  </si>
  <si>
    <t>a63212229@gmail.com</t>
  </si>
  <si>
    <t>Dane wala satkosi Dane wala satkosi Abohar Punjab 152128</t>
  </si>
  <si>
    <t>Abohar</t>
  </si>
  <si>
    <t>KHUSHPREET KAUR</t>
  </si>
  <si>
    <t>SARWAN SINGH</t>
  </si>
  <si>
    <t>Devinder Kaur</t>
  </si>
  <si>
    <t>2025.ALC/A.71</t>
  </si>
  <si>
    <t>252062222795</t>
  </si>
  <si>
    <t>Kotla Moosa, Gurdaspur,, Amritsar</t>
  </si>
  <si>
    <t>ARJUN SEHGAL</t>
  </si>
  <si>
    <t>RAJAN SEHGAL</t>
  </si>
  <si>
    <t>Pooja</t>
  </si>
  <si>
    <t>2024.ALC/A.114</t>
  </si>
  <si>
    <t>arjunsehgal570@gmail.com</t>
  </si>
  <si>
    <t>Ajnala Ajnala Ajnala Punjab 143102</t>
  </si>
  <si>
    <t>Ajnala</t>
  </si>
  <si>
    <t>RIPANDEEP SINGH</t>
  </si>
  <si>
    <t>NIRMAL SINGH</t>
  </si>
  <si>
    <t>Gagandeep Kaur</t>
  </si>
  <si>
    <t>2025.ALC/A.108</t>
  </si>
  <si>
    <t>223642698891</t>
  </si>
  <si>
    <t>573/5,Gali Kamboj,Chowk Lachhmansar,, Amritsar</t>
  </si>
  <si>
    <t>PRIYA SANDHU</t>
  </si>
  <si>
    <t>JAGJIT SINGH</t>
  </si>
  <si>
    <t>2024.ALC/A.31</t>
  </si>
  <si>
    <t>priyasandhu4575@gmail.com</t>
  </si>
  <si>
    <t>Laluwala Laluwala (Ferozepur) Ferozepur Punjab 142043</t>
  </si>
  <si>
    <t>Ferozepur</t>
  </si>
  <si>
    <t>ADITI</t>
  </si>
  <si>
    <t>DHEERAJ SHARMA</t>
  </si>
  <si>
    <t>Kirti</t>
  </si>
  <si>
    <t>2025.ALC/A.72</t>
  </si>
  <si>
    <t>587859939026</t>
  </si>
  <si>
    <t>H.no-209,Heaven City,Manawala,G.T.Road,Near Gill Farm House,, Amritsar</t>
  </si>
  <si>
    <t>GAGANDEEP KAUR</t>
  </si>
  <si>
    <t>BALWINDER SINGH</t>
  </si>
  <si>
    <t>Sukhwinder kaur</t>
  </si>
  <si>
    <t>2024.ALC/A.32</t>
  </si>
  <si>
    <t>22-08-2005</t>
  </si>
  <si>
    <t>gagandeepkaur0397@gmail.com</t>
  </si>
  <si>
    <t>6 Sandalpur Gurdaspur Punjab 143521</t>
  </si>
  <si>
    <t>Gurdaspur</t>
  </si>
  <si>
    <t>SUSHMEET KAUR</t>
  </si>
  <si>
    <t>DALJIT SINGH</t>
  </si>
  <si>
    <t>Ranjit Kaur</t>
  </si>
  <si>
    <t>2025.ALC/A.18</t>
  </si>
  <si>
    <t>H.NO-150,Pir Baba Kikri Wali Gali ,Vaishno Colony,Nariangarh, Amritsar</t>
  </si>
  <si>
    <t>TWINKLE</t>
  </si>
  <si>
    <t>RAGHUWANSH KUMAR</t>
  </si>
  <si>
    <t>Reeta Rani</t>
  </si>
  <si>
    <t>2024.ALC/A.33</t>
  </si>
  <si>
    <t>Twinkle$123</t>
  </si>
  <si>
    <t>twinklekakkar870@gmail.com</t>
  </si>
  <si>
    <t>Mandir wala bazar bhikhiwind near dhawan hospital Village Amritsar Punjab 143303</t>
  </si>
  <si>
    <t>ANUREET KAUR</t>
  </si>
  <si>
    <t>Rupinder Kaur</t>
  </si>
  <si>
    <t>2025.ALC/A.73</t>
  </si>
  <si>
    <t>906591631960</t>
  </si>
  <si>
    <t>Dhirekot,PO:Bhangwan,, Amritsar</t>
  </si>
  <si>
    <t>NAVJOT KAUR</t>
  </si>
  <si>
    <t>Rajbir kaur</t>
  </si>
  <si>
    <t>2024.ALC/A.34</t>
  </si>
  <si>
    <t>navjotkaur</t>
  </si>
  <si>
    <t>navjot.kaur90564@gmail.com</t>
  </si>
  <si>
    <t>L-2/1107 new gurnam nagar, sultanwind road, Amritsar Town Amritsar Punjab 143001</t>
  </si>
  <si>
    <t>MOKSHIKA</t>
  </si>
  <si>
    <t>VARINDER PAL SINGH</t>
  </si>
  <si>
    <t>Ravinder Kaur</t>
  </si>
  <si>
    <t>2025.ALC/A.74</t>
  </si>
  <si>
    <t>92,Baba Deep Singh Colony,, Amritsar</t>
  </si>
  <si>
    <t>406112695992</t>
  </si>
  <si>
    <t>PRABHDYAL</t>
  </si>
  <si>
    <t>PARAMJIT KUMAR</t>
  </si>
  <si>
    <t>Sarbjit kaur</t>
  </si>
  <si>
    <t>2024.ALC/A.70</t>
  </si>
  <si>
    <t>prabhtalwar182@gmail.com</t>
  </si>
  <si>
    <t>New mahajan colony opposite gill palace batala</t>
  </si>
  <si>
    <t>SAMRIDHI SHARMA</t>
  </si>
  <si>
    <t>Batala</t>
  </si>
  <si>
    <t>DEEPAK SHARMA</t>
  </si>
  <si>
    <t>143505</t>
  </si>
  <si>
    <t>2025.ALC/A.75</t>
  </si>
  <si>
    <t>5,New Ranjitpura,Opp Japani Mill,Chheharta, Amritsar</t>
  </si>
  <si>
    <t>701857678019</t>
  </si>
  <si>
    <t>NISHA RANI</t>
  </si>
  <si>
    <t>ASHOK KUMAR</t>
  </si>
  <si>
    <t>Sunita rani</t>
  </si>
  <si>
    <t>2024.ALC/A.35</t>
  </si>
  <si>
    <t>ashokmadel8@gmail.com</t>
  </si>
  <si>
    <t>Jalalabad, fazilka</t>
  </si>
  <si>
    <t>Jalalabad</t>
  </si>
  <si>
    <t>MANJOT KAUR</t>
  </si>
  <si>
    <t>Harjeet Kaur</t>
  </si>
  <si>
    <t>152024</t>
  </si>
  <si>
    <t>O -</t>
  </si>
  <si>
    <t>2025.ALC/A.19</t>
  </si>
  <si>
    <t>834572226421</t>
  </si>
  <si>
    <t>Indra Colony Verka,_x000D_
 , Amritsar</t>
  </si>
  <si>
    <t>ARASHPREET KAUR</t>
  </si>
  <si>
    <t>GURMEET SINGH</t>
  </si>
  <si>
    <t>Kulwinder Kaur</t>
  </si>
  <si>
    <t>2024.ALC/A.36</t>
  </si>
  <si>
    <t>Welcome*1</t>
  </si>
  <si>
    <t>kulwinderkaurshergill90@gmail.com</t>
  </si>
  <si>
    <t>Ghugatwind Hinduan Amritsar Punjab 143114</t>
  </si>
  <si>
    <t>851108815142</t>
  </si>
  <si>
    <t>AKNOOR PREET KAUR</t>
  </si>
  <si>
    <t>RANJIT SINGH</t>
  </si>
  <si>
    <t>2024.ALC/A.89</t>
  </si>
  <si>
    <t>noorpreet2278@gmail.com</t>
  </si>
  <si>
    <t>House no 10 near naraingarh , green valley ( chheharta)</t>
  </si>
  <si>
    <t>143105</t>
  </si>
  <si>
    <t>860127429480</t>
  </si>
  <si>
    <t>DAVNEET KAUR</t>
  </si>
  <si>
    <t>HIMANTI DOGRA</t>
  </si>
  <si>
    <t>JASKARAN SINGH</t>
  </si>
  <si>
    <t>RAGHAV DOGRA</t>
  </si>
  <si>
    <t>Rajwinder Kaur</t>
  </si>
  <si>
    <t>Sunita dogra</t>
  </si>
  <si>
    <t>2024.ALC/A.90</t>
  </si>
  <si>
    <t>2025.ALC/A.20</t>
  </si>
  <si>
    <t>Himanti</t>
  </si>
  <si>
    <t>himantidogra143@gmail.com</t>
  </si>
  <si>
    <t>New nehru nagar colony Pathankot Pathankot Punjab 145001</t>
  </si>
  <si>
    <t>Village Bharana,, Ferozepur</t>
  </si>
  <si>
    <t>849491614832</t>
  </si>
  <si>
    <t>KARANDEEP SINGH</t>
  </si>
  <si>
    <t>HEERA SINGH</t>
  </si>
  <si>
    <t>YATIN CHAUDHARY</t>
  </si>
  <si>
    <t>Paiyal kaur</t>
  </si>
  <si>
    <t>ASHWANI KUMAR</t>
  </si>
  <si>
    <t>Sushma</t>
  </si>
  <si>
    <t>2024.ALC/A.71</t>
  </si>
  <si>
    <t>2025.ALC/A.50</t>
  </si>
  <si>
    <t>h.no-563,Ward no-11,Hardo Channi Road Prem Nagar,, Gurdaspur</t>
  </si>
  <si>
    <t>karanbleem2@gmail.com</t>
  </si>
  <si>
    <t>155/5 Patti Patti Punjab 143416</t>
  </si>
  <si>
    <t>788216435548</t>
  </si>
  <si>
    <t>HIMMAT SINGH MALHI</t>
  </si>
  <si>
    <t>KULWINDER SINGH</t>
  </si>
  <si>
    <t>Pawanpreet Kaur</t>
  </si>
  <si>
    <t>2025.ALC/A.109</t>
  </si>
  <si>
    <t>KIRANPREET KAUR</t>
  </si>
  <si>
    <t>PARAMJIT SINGH</t>
  </si>
  <si>
    <t>Khabe Dogran,, Tarn- Taran</t>
  </si>
  <si>
    <t>2024.ALC/A.91</t>
  </si>
  <si>
    <t>uppalkiran321@gmail.com</t>
  </si>
  <si>
    <t>Po: uppal , Dist: Tarn Taran, 143112</t>
  </si>
  <si>
    <t>Tarn taran</t>
  </si>
  <si>
    <t>143112</t>
  </si>
  <si>
    <t>A +</t>
  </si>
  <si>
    <t>SHUBDEEP KAUR</t>
  </si>
  <si>
    <t>NAVINDERPAL SINGH</t>
  </si>
  <si>
    <t>2025.ALC/A.21</t>
  </si>
  <si>
    <t>871495334979</t>
  </si>
  <si>
    <t>Village Kad Gill Kalan,, Tarn- Taran</t>
  </si>
  <si>
    <t>HARKIRAT SINGH</t>
  </si>
  <si>
    <t>HARJEET SINGH</t>
  </si>
  <si>
    <t>Manumeet kaur</t>
  </si>
  <si>
    <t>2024.ALC/A.115</t>
  </si>
  <si>
    <t>Harkirat0013@gmial.com</t>
  </si>
  <si>
    <t>97 Ne Amritsar near Ashok vatika school Amritsar Amritsar Punjab 143001</t>
  </si>
  <si>
    <t>PARNEET KAUR</t>
  </si>
  <si>
    <t>SOBHA SINGH</t>
  </si>
  <si>
    <t>Neelam Rani</t>
  </si>
  <si>
    <t>2025.ALC/A.76</t>
  </si>
  <si>
    <t>Mallha Rahim Ke Uttar,PO:Chhanga Khurd,, Ferozepur</t>
  </si>
  <si>
    <t>798046814792</t>
  </si>
  <si>
    <t>NIDHI</t>
  </si>
  <si>
    <t>VIR PAL</t>
  </si>
  <si>
    <t>sunaina</t>
  </si>
  <si>
    <t>2024.ALC/A.92</t>
  </si>
  <si>
    <t>SIMRANPREET KAUR</t>
  </si>
  <si>
    <t>KARAMJIT SINGH</t>
  </si>
  <si>
    <t>Narinder Kaur</t>
  </si>
  <si>
    <t>ssffffff@gmail.com</t>
  </si>
  <si>
    <t>2025.ALC/A.22</t>
  </si>
  <si>
    <t>ward no 26, hargobind nagar , moga,punjab 142001</t>
  </si>
  <si>
    <t>moga</t>
  </si>
  <si>
    <t>punjab</t>
  </si>
  <si>
    <t>142001</t>
  </si>
  <si>
    <t>Village Riali Khurd Po Riali Kalan,Riali Khurd,PO:Aliwal,, Gurdaspur</t>
  </si>
  <si>
    <t>826005384492</t>
  </si>
  <si>
    <t>ARMAN SINGH</t>
  </si>
  <si>
    <t>SHAMSHER SINGH</t>
  </si>
  <si>
    <t>2024.ALC/A.116</t>
  </si>
  <si>
    <t>Orbit@123</t>
  </si>
  <si>
    <t>SHEILPREET KAUR</t>
  </si>
  <si>
    <t>BALJIT SINGH</t>
  </si>
  <si>
    <t>Kawaljit Kaur</t>
  </si>
  <si>
    <t>2025.ALC/A.77</t>
  </si>
  <si>
    <t>armandhillon805@gmail.com</t>
  </si>
  <si>
    <t>14 Bachre Tarn taran Punjab 143401</t>
  </si>
  <si>
    <t>D B N Road Hassanpura,, Batala</t>
  </si>
  <si>
    <t>234522732895</t>
  </si>
  <si>
    <t>JAISMEEN KAUR</t>
  </si>
  <si>
    <t>2024.ALC/A.14</t>
  </si>
  <si>
    <t>KANWALDEEP KAUR</t>
  </si>
  <si>
    <t>2025.ALC/A.23</t>
  </si>
  <si>
    <t>jaissikajaissika996@gmail.com</t>
  </si>
  <si>
    <t>Lehndi patti Gehri Mandi Gehri Amritsar Gehri Mandi Amritsar Punjab 143149</t>
  </si>
  <si>
    <t>Baba Jivan Singh,Bhikhiwind ,, Amritsar</t>
  </si>
  <si>
    <t>288839080433</t>
  </si>
  <si>
    <t>JASPINDER KAUR</t>
  </si>
  <si>
    <t>JOGA SINGH</t>
  </si>
  <si>
    <t>EKAMPREET KAUR</t>
  </si>
  <si>
    <t>Harjinder kaur</t>
  </si>
  <si>
    <t>JARNAIL SINGH</t>
  </si>
  <si>
    <t>Jasvir Kaur</t>
  </si>
  <si>
    <t>2024.ALC/A.80</t>
  </si>
  <si>
    <t>Goindwal@123</t>
  </si>
  <si>
    <t>2025.ALC/A.24</t>
  </si>
  <si>
    <t>jaspinder8990@gmail.com</t>
  </si>
  <si>
    <t>Dhunda Tarn taran Punjab 143422</t>
  </si>
  <si>
    <t>Gaggarwal,Fatehghar Sahib,, Fatehgarh Sahib</t>
  </si>
  <si>
    <t>810092177541</t>
  </si>
  <si>
    <t>DAVINDERPAL SINGH</t>
  </si>
  <si>
    <t>2024.ALC/A.16</t>
  </si>
  <si>
    <t>navjotkaur192005@gmail.coma</t>
  </si>
  <si>
    <t>H,no216,balmk Mandir, bahi verka di ,amr-ll vallah</t>
  </si>
  <si>
    <t>MAMTA KAUR</t>
  </si>
  <si>
    <t>JASPAL SINGH</t>
  </si>
  <si>
    <t>143501</t>
  </si>
  <si>
    <t>Karamjit Kaur</t>
  </si>
  <si>
    <t>2025.ALC/A.25</t>
  </si>
  <si>
    <t>B positive</t>
  </si>
  <si>
    <t>Teh-Zira,Village-Chohla,Chohlan,Ferozepur Malloke,, Tarn- Taran</t>
  </si>
  <si>
    <t>302248101468</t>
  </si>
  <si>
    <t>JAGGA SINGH</t>
  </si>
  <si>
    <t>Amarjit kaur</t>
  </si>
  <si>
    <t>2024.ALC/A.17</t>
  </si>
  <si>
    <t>Khush.2961@gmail.com</t>
  </si>
  <si>
    <t>SIMRANJIT KAUR</t>
  </si>
  <si>
    <t>BARINDER SINGH</t>
  </si>
  <si>
    <t>Jahangir Jahangir Tarn taran Punjab 143406</t>
  </si>
  <si>
    <t>Kashmir Kaur</t>
  </si>
  <si>
    <t>2025.ALC/A.78</t>
  </si>
  <si>
    <t>Khabe Dogran , Khabe Dogran, Amritsar</t>
  </si>
  <si>
    <t>769437500329</t>
  </si>
  <si>
    <t>GURLAL SINGH</t>
  </si>
  <si>
    <t>Rupinder kaur</t>
  </si>
  <si>
    <t>2024.ALC/A.111</t>
  </si>
  <si>
    <t>Gurlal@2003</t>
  </si>
  <si>
    <t>HARSHPREET KAUR</t>
  </si>
  <si>
    <t>CHARANJIT SINGH</t>
  </si>
  <si>
    <t>Sukhbir Kaur</t>
  </si>
  <si>
    <t>2025.ALC/A.26</t>
  </si>
  <si>
    <t>gurlal26092003@gmail.com</t>
  </si>
  <si>
    <t>Chugi sakhon wali, ward no.9, joga Singh Patti, Tarn Taran, 143416 Patti Punjab 143416</t>
  </si>
  <si>
    <t>Rurewal,Ramdass,Ajnala, Amritsar</t>
  </si>
  <si>
    <t>970465832378</t>
  </si>
  <si>
    <t>HASRATPREET KAUR</t>
  </si>
  <si>
    <t>SNEHPREET KAUR</t>
  </si>
  <si>
    <t>Kuljit kaur</t>
  </si>
  <si>
    <t>RAJWINDER SINGH</t>
  </si>
  <si>
    <t>Harjit Kaur</t>
  </si>
  <si>
    <t>2024.ALC/A.81</t>
  </si>
  <si>
    <t>armaan#2</t>
  </si>
  <si>
    <t>2025.ALC/A.79</t>
  </si>
  <si>
    <t>hasratpreet.kaur2005@gmail.com</t>
  </si>
  <si>
    <t>Village-Bhorchhi Rajputan,, Amritsar</t>
  </si>
  <si>
    <t>107 Vallah Amritsar Punjab 143501</t>
  </si>
  <si>
    <t>322141719292</t>
  </si>
  <si>
    <t>ARYAN</t>
  </si>
  <si>
    <t>NARESH KUMAR</t>
  </si>
  <si>
    <t>Rishma</t>
  </si>
  <si>
    <t>VINATI</t>
  </si>
  <si>
    <t>2025.ALC/A.51</t>
  </si>
  <si>
    <t>PRADEEP THAKUR</t>
  </si>
  <si>
    <t>Sarla Nirankari</t>
  </si>
  <si>
    <t>2024.ALC/A.18</t>
  </si>
  <si>
    <t>Satguru@123</t>
  </si>
  <si>
    <t>H.no-55,Gali no-3,Sultanwind Road,Kapoor Nagar,, Amritsar</t>
  </si>
  <si>
    <t>Vinatinirankari125@gmail.com</t>
  </si>
  <si>
    <t>Shanti Devi Arya Mahila College, Dinanagar. Dinanagar Gurdaspur Punjab 143531</t>
  </si>
  <si>
    <t>PALAK</t>
  </si>
  <si>
    <t>SATNAM SINGH</t>
  </si>
  <si>
    <t>545129153410</t>
  </si>
  <si>
    <t>2025.ALC/A.27</t>
  </si>
  <si>
    <t>SIMRAN KAUR</t>
  </si>
  <si>
    <t>Manga Sarai,PO:Chawinda Devi,, Amritsar</t>
  </si>
  <si>
    <t>MUKHTAR SINGH</t>
  </si>
  <si>
    <t>Jasbir kaur</t>
  </si>
  <si>
    <t>2024.ALC/A.19</t>
  </si>
  <si>
    <t>Guri2006</t>
  </si>
  <si>
    <t>arsh63919@gmail.com</t>
  </si>
  <si>
    <t>Muradpura,Taran Taran</t>
  </si>
  <si>
    <t>Taran taran</t>
  </si>
  <si>
    <t>143401</t>
  </si>
  <si>
    <t>SIDHI JOSHI</t>
  </si>
  <si>
    <t>RADHA RAMAN</t>
  </si>
  <si>
    <t>Jyoti</t>
  </si>
  <si>
    <t>2025.ALC/A.28</t>
  </si>
  <si>
    <t>960270013979</t>
  </si>
  <si>
    <t>5400,Gaushala Road,Jandiala Guru,, Amritsar</t>
  </si>
  <si>
    <t>RAJVIR KAUR</t>
  </si>
  <si>
    <t>NARAIN SINGH</t>
  </si>
  <si>
    <t>Paramjit Kaur</t>
  </si>
  <si>
    <t>2024.ALC/A.20</t>
  </si>
  <si>
    <t>rajvirkaur42333@gmail.com</t>
  </si>
  <si>
    <t>82 Amarkot Amritsar Punjab 143149</t>
  </si>
  <si>
    <t>MANPREET KAUR</t>
  </si>
  <si>
    <t>MANJEET SINGH</t>
  </si>
  <si>
    <t>2025.ALC/A.29</t>
  </si>
  <si>
    <t>949862886428</t>
  </si>
  <si>
    <t>Kakkar Mahalla,Bhikhiwind,, Tarn- Taran</t>
  </si>
  <si>
    <t>NEELAM RANI</t>
  </si>
  <si>
    <t>Sunita Rani</t>
  </si>
  <si>
    <t>2024.ALC/A.21</t>
  </si>
  <si>
    <t>nimanikwan215@gmail.com</t>
  </si>
  <si>
    <t>Near primary school Dhani Resham singh ( chak pali wala) Jalalabad Punjab 152033</t>
  </si>
  <si>
    <t>AKASHDEEP SINGH</t>
  </si>
  <si>
    <t>SULAKHAN SINGH</t>
  </si>
  <si>
    <t>Mandeep Kaur</t>
  </si>
  <si>
    <t>2025.ALC/A.52</t>
  </si>
  <si>
    <t>Sainsra Patti,Rampura,Ajnala,, Amritsar</t>
  </si>
  <si>
    <t>917332574856</t>
  </si>
  <si>
    <t>KAJAL SHARMA</t>
  </si>
  <si>
    <t>RAKESH KUMAR</t>
  </si>
  <si>
    <t>Pooja Sharma</t>
  </si>
  <si>
    <t>2024.ALC/A.22</t>
  </si>
  <si>
    <t>Kajal@2007</t>
  </si>
  <si>
    <t>Ks6777591@gmail.com</t>
  </si>
  <si>
    <t>1265,East Gobind Nagar Mandir wala Bazar Sultanwind Road Amritsar Amritsar Amritsar Punjab 143001</t>
  </si>
  <si>
    <t>KIRANBIR KAUR</t>
  </si>
  <si>
    <t>MANGAL SINGH</t>
  </si>
  <si>
    <t>2025.ALC/A.80</t>
  </si>
  <si>
    <t>Kalsian Khurd,, Tarn- Taran</t>
  </si>
  <si>
    <t>880075887512</t>
  </si>
  <si>
    <t>JASMEET KAUR</t>
  </si>
  <si>
    <t>DHARAM SINGH</t>
  </si>
  <si>
    <t>2024.ALC/A.82</t>
  </si>
  <si>
    <t>Meet2430</t>
  </si>
  <si>
    <t>HUSANPREET KAUR</t>
  </si>
  <si>
    <t>MANGA SINGH</t>
  </si>
  <si>
    <t>Baljit Kaur</t>
  </si>
  <si>
    <t>jasmeetkaur0678@gmail.com</t>
  </si>
  <si>
    <t>2025.ALC/A.30</t>
  </si>
  <si>
    <t>Vill: Kot Hirde Ram, near Chawinda Devi, Amritsar Vill: Kot Hirde Ram, near Chawinda Devi, Amritsar Amritsar Punjab 143504</t>
  </si>
  <si>
    <t>Dharamkot Bagga,, Gurdaspur</t>
  </si>
  <si>
    <t>333253647714</t>
  </si>
  <si>
    <t>SEHAJPREET KAUR</t>
  </si>
  <si>
    <t>BALJINDER SINGH</t>
  </si>
  <si>
    <t>Rajinder Kaur</t>
  </si>
  <si>
    <t>2024.ALC/A.83</t>
  </si>
  <si>
    <t>Inderjeet Kaur</t>
  </si>
  <si>
    <t>2025.ALC/A.53</t>
  </si>
  <si>
    <t>sehajkalsi583@gmail.com</t>
  </si>
  <si>
    <t>Near Hans Collection Chogawan Road Chawinda devi Amritsar Punjab 143504</t>
  </si>
  <si>
    <t>H.no-38,East And Estate,Near Sant Avenue,G.T.Road,, Amritsar</t>
  </si>
  <si>
    <t>268906871247</t>
  </si>
  <si>
    <t>MOHINI</t>
  </si>
  <si>
    <t>SUNALI</t>
  </si>
  <si>
    <t>CHARAN SINGH</t>
  </si>
  <si>
    <t>Arti</t>
  </si>
  <si>
    <t>Rajni</t>
  </si>
  <si>
    <t>2025.ALC/A.81</t>
  </si>
  <si>
    <t>2024.ALC/A.84</t>
  </si>
  <si>
    <t>kaurmall2005@gmail.com</t>
  </si>
  <si>
    <t>00,Gajju Khalsa Baknaur ,, Pathankot</t>
  </si>
  <si>
    <t>2458 kishore nagar,near tajpur road, ludhiana Ludhiana Punjab 141008</t>
  </si>
  <si>
    <t>Ludhiana</t>
  </si>
  <si>
    <t>760310704336</t>
  </si>
  <si>
    <t>HARGUN KAUR MANGAT</t>
  </si>
  <si>
    <t>INDERJIT SINGH</t>
  </si>
  <si>
    <t>Ramanpreet Kaur</t>
  </si>
  <si>
    <t>Sandeep Kaur</t>
  </si>
  <si>
    <t>2025.ALC/A.82</t>
  </si>
  <si>
    <t>2024.ALC/A.65</t>
  </si>
  <si>
    <t>Khairabad,Ajnala Road,Kherbad, Amritsar</t>
  </si>
  <si>
    <t>is886727@gmail.com</t>
  </si>
  <si>
    <t>House no.558 Amritsar Amritsar Punjab 143001</t>
  </si>
  <si>
    <t>DR. SHEFALI</t>
  </si>
  <si>
    <t>-</t>
  </si>
  <si>
    <t>274499137880</t>
  </si>
  <si>
    <t>MEHAKDEEP KAUR</t>
  </si>
  <si>
    <t>SAHIB SINGH</t>
  </si>
  <si>
    <t>Anu Kaur</t>
  </si>
  <si>
    <t>2025.ALC/A.32</t>
  </si>
  <si>
    <t>SAMARTH SETHI</t>
  </si>
  <si>
    <t>HIMANSHU SETHI</t>
  </si>
  <si>
    <t>Ashina sethi</t>
  </si>
  <si>
    <t>2024.ALC/A.112</t>
  </si>
  <si>
    <t>Village-Thathgarh,, Tarn- Taran</t>
  </si>
  <si>
    <t>samarth4u786@gmail.com</t>
  </si>
  <si>
    <t>W.no.17 GOPAL NAGAR SAMADH ROAD BATALA</t>
  </si>
  <si>
    <t>INDERJIT KAUR</t>
  </si>
  <si>
    <t>963638036094</t>
  </si>
  <si>
    <t>Manjeet Kaur</t>
  </si>
  <si>
    <t>2025.ALC/A.83</t>
  </si>
  <si>
    <t>TANUREET KAUR</t>
  </si>
  <si>
    <t>SURINDER SINGH</t>
  </si>
  <si>
    <t>H.no-17,Police Line Sant Atar Singh Nagar,, Sangrur</t>
  </si>
  <si>
    <t>Amritpal Kaur</t>
  </si>
  <si>
    <t>2024.ALC/A.85</t>
  </si>
  <si>
    <t>kaurtanureet7@gmail.com</t>
  </si>
  <si>
    <t>House no.4 Vill. Kaler (Banwalipur) Tarn Taran Punjab 143411</t>
  </si>
  <si>
    <t>O-</t>
  </si>
  <si>
    <t>DANISH GILL</t>
  </si>
  <si>
    <t>NARESH GILL</t>
  </si>
  <si>
    <t>422043806824</t>
  </si>
  <si>
    <t>Rachna Gill</t>
  </si>
  <si>
    <t>2025.ALC/A.54</t>
  </si>
  <si>
    <t>ASEEM MEHTA</t>
  </si>
  <si>
    <t>AJAY MEHTA</t>
  </si>
  <si>
    <t>Seema Mehta</t>
  </si>
  <si>
    <t>C-5,Golden Avenue,Head Water Road,, Amritsar</t>
  </si>
  <si>
    <t>2024.ALC/A.109</t>
  </si>
  <si>
    <t>aseemmehta04@gmail.com aa</t>
  </si>
  <si>
    <t>B16-0155 Town Tarn Taran Punjab 143401</t>
  </si>
  <si>
    <t>MANNAT KHAIRA</t>
  </si>
  <si>
    <t>KAMALJIT SINGH</t>
  </si>
  <si>
    <t>Gurjit Kaur</t>
  </si>
  <si>
    <t>2025.ALC/A.84</t>
  </si>
  <si>
    <t>619298940041</t>
  </si>
  <si>
    <t>Sher Singhwala,, Kapurthala</t>
  </si>
  <si>
    <t>PRABHJOT KAUR</t>
  </si>
  <si>
    <t>NEETA</t>
  </si>
  <si>
    <t>2024.ALC/A.11</t>
  </si>
  <si>
    <t>prabhkaurr021@gmail.com</t>
  </si>
  <si>
    <t>Amritsar, Punjab, India</t>
  </si>
  <si>
    <t>Punjab, India</t>
  </si>
  <si>
    <t>Attari, Punjab 143108, India</t>
  </si>
  <si>
    <t>Sc</t>
  </si>
  <si>
    <t>Sikh</t>
  </si>
  <si>
    <t>NAVDEEP</t>
  </si>
  <si>
    <t>VIPAN KUMAR</t>
  </si>
  <si>
    <t>Ranjana</t>
  </si>
  <si>
    <t>2025.ALC/A.85</t>
  </si>
  <si>
    <t>212252286416</t>
  </si>
  <si>
    <t>2438,4, Guru Nanak Pura, , Amritsar</t>
  </si>
  <si>
    <t>NISHTHA BAGLA</t>
  </si>
  <si>
    <t>PANKAJ BAGLA</t>
  </si>
  <si>
    <t>Seema bagla</t>
  </si>
  <si>
    <t>2024.ALC/A.12</t>
  </si>
  <si>
    <t>nishtha.bagla@gmail.com</t>
  </si>
  <si>
    <t>#681,gali lala wali,katra ahluwalia, near ridhi sidhi residencyAmritsar Punjab 143001</t>
  </si>
  <si>
    <t>Palwinider Kaur</t>
  </si>
  <si>
    <t>2025.ALC/A.33</t>
  </si>
  <si>
    <t>823069502149</t>
  </si>
  <si>
    <t>Chauhan,Chohan,, Amritsar</t>
  </si>
  <si>
    <t>PRABHSIMRAN SINGH</t>
  </si>
  <si>
    <t>SUKHRAJ SINGH</t>
  </si>
  <si>
    <t>Jaswinder kaur</t>
  </si>
  <si>
    <t>2024.ALC/A.110</t>
  </si>
  <si>
    <t>Singh@123</t>
  </si>
  <si>
    <t>prabhsimran1306@email.com</t>
  </si>
  <si>
    <t>33 Vill.Teja Khurd, PO: Kala Afgana Gurdaspur Punjab 143513</t>
  </si>
  <si>
    <t>ALANKAR</t>
  </si>
  <si>
    <t>Rachha</t>
  </si>
  <si>
    <t>2025.ALC/A.86</t>
  </si>
  <si>
    <t>Sultanpur Lodhi, , Kapurthala</t>
  </si>
  <si>
    <t>626069321200</t>
  </si>
  <si>
    <t>SHAYA</t>
  </si>
  <si>
    <t>JASPREET KAUR</t>
  </si>
  <si>
    <t>TARSEM</t>
  </si>
  <si>
    <t>Ninder</t>
  </si>
  <si>
    <t>2025.ALC/A.34</t>
  </si>
  <si>
    <t>2024.ALC/A.13</t>
  </si>
  <si>
    <t>Mahigill</t>
  </si>
  <si>
    <t>Lalpura,, Tarn- Taran</t>
  </si>
  <si>
    <t>shayagill511@gmail.com</t>
  </si>
  <si>
    <t>Majitha supariwind near vishal kiryana store Majitha Amritsar Punjab 143601</t>
  </si>
  <si>
    <t>660101506164</t>
  </si>
  <si>
    <t>KHUSHI SAREEN</t>
  </si>
  <si>
    <t>VISHAL SAREEN</t>
  </si>
  <si>
    <t>Neetu</t>
  </si>
  <si>
    <t>2025.ALC/A.87</t>
  </si>
  <si>
    <t>HARGUN KAUR</t>
  </si>
  <si>
    <t>TARWINDER SINGH</t>
  </si>
  <si>
    <t>Mrs.Harpreet kaur</t>
  </si>
  <si>
    <t>2024.ALC/A.93</t>
  </si>
  <si>
    <t>1892,Gali Bagh Wali,Quilla Bhangian , Amritsar</t>
  </si>
  <si>
    <t>hk4312241@gmail.com</t>
  </si>
  <si>
    <t>Taran tarn road ,ganda singh colony house no 32 ji, Amritsar, Punjab</t>
  </si>
  <si>
    <t>MANWARIS SINGH</t>
  </si>
  <si>
    <t>Gurcharan Kaur</t>
  </si>
  <si>
    <t>540176984174</t>
  </si>
  <si>
    <t>2025.ALC/A.55</t>
  </si>
  <si>
    <t>MAHABEER SINGH</t>
  </si>
  <si>
    <t>BOHAR SINGH</t>
  </si>
  <si>
    <t>Lakhuwal,, Amritsar</t>
  </si>
  <si>
    <t>2024.ALC/A.118</t>
  </si>
  <si>
    <t>21-01-2008</t>
  </si>
  <si>
    <t>mahabirsingh9814@gmail.com</t>
  </si>
  <si>
    <t>12 Lehra bet Makhu Punjab 142044</t>
  </si>
  <si>
    <t>Makhu</t>
  </si>
  <si>
    <t>SUMANDEEP KAUR</t>
  </si>
  <si>
    <t>MAHINDER SINGH</t>
  </si>
  <si>
    <t>Manjit Kaur</t>
  </si>
  <si>
    <t>2025.ALC/A.35</t>
  </si>
  <si>
    <t>Village Tong,Taung ,, Rayya</t>
  </si>
  <si>
    <t>KOMALPREET KAUR</t>
  </si>
  <si>
    <t>Dimplepreet Kaur</t>
  </si>
  <si>
    <t>2024.ALC/A.39</t>
  </si>
  <si>
    <t>gagandhoti82@gmail.com</t>
  </si>
  <si>
    <t>Thatha Tarn Taran Punjab 143301</t>
  </si>
  <si>
    <t>JASMEEN KAUR</t>
  </si>
  <si>
    <t>SUKHBIR SINGH</t>
  </si>
  <si>
    <t>Kanwaljit kaur</t>
  </si>
  <si>
    <t>2025.ALC/A.36</t>
  </si>
  <si>
    <t>Village Kad Gill Kalan, Tarn taran, Tarn Taran</t>
  </si>
  <si>
    <t>772710973671</t>
  </si>
  <si>
    <t>GAURI</t>
  </si>
  <si>
    <t>BHARTI ANAND</t>
  </si>
  <si>
    <t>Vinky</t>
  </si>
  <si>
    <t>2024.ALC/A.95</t>
  </si>
  <si>
    <t>RAZIA MALIK</t>
  </si>
  <si>
    <t>ABDUL MALIK</t>
  </si>
  <si>
    <t>Seema Malik</t>
  </si>
  <si>
    <t>2025.ALC/A.37</t>
  </si>
  <si>
    <t>Gauri.anand@gmail.com</t>
  </si>
  <si>
    <t>285 H.no-285, near Dogra dairy, o/s pahari gate batala Batala Punjab 143506</t>
  </si>
  <si>
    <t>Near Dana Mani Majitha,, Amritsar</t>
  </si>
  <si>
    <t>654327728093</t>
  </si>
  <si>
    <t>MEHAKPREET KAUR</t>
  </si>
  <si>
    <t>JASMIN KAUR</t>
  </si>
  <si>
    <t>GURMUKH SINGH</t>
  </si>
  <si>
    <t>Sonia</t>
  </si>
  <si>
    <t>2024.ALC/A.96</t>
  </si>
  <si>
    <t>2025.ALC/A.38</t>
  </si>
  <si>
    <t>Mehak@123</t>
  </si>
  <si>
    <t>Main Road,Gali no-6,Radha Krishan Colony,Bhagtanwala,, Amritsar</t>
  </si>
  <si>
    <t>mehakpreet.k4578@gmail.com</t>
  </si>
  <si>
    <t>House no. L2/1854, Gali no.10, New gurnam nagar, Sultanwind road, Amritsar Amritsar Amritsar Punjab 143001</t>
  </si>
  <si>
    <t>734258952854</t>
  </si>
  <si>
    <t>PAWANDEEP SINGH</t>
  </si>
  <si>
    <t>2025.ALC/A.56</t>
  </si>
  <si>
    <t>AMANDEEP KAUR</t>
  </si>
  <si>
    <t>Bhikhiwind,_x000D_
 , Tarn- Taran</t>
  </si>
  <si>
    <t>2024.ALC/A.40</t>
  </si>
  <si>
    <t>sandhuamandeepkaur2005@gmail.com</t>
  </si>
  <si>
    <t>Wadala Viram,Amritsar,Punjab-143601 Wadala Amritsar Punjab 143601</t>
  </si>
  <si>
    <t>AJAY PAL SINGH SANDHU</t>
  </si>
  <si>
    <t>HARKEWAL SINGH SANDHU</t>
  </si>
  <si>
    <t>Ranjeet Kaur Sandhu</t>
  </si>
  <si>
    <t>744631841669</t>
  </si>
  <si>
    <t>2025.ALC/A.57</t>
  </si>
  <si>
    <t>PARAMJIT KAUR</t>
  </si>
  <si>
    <t>Opp-Focal Point,Abadi Allawal,Batala,, Gurdaspur</t>
  </si>
  <si>
    <t>2024.ALC/A.41</t>
  </si>
  <si>
    <t>Paramjut#81</t>
  </si>
  <si>
    <t>eshuchrist6@gmail.com</t>
  </si>
  <si>
    <t>5 Village Hamja PO Majitha Dist Amritsar Punjab 143601</t>
  </si>
  <si>
    <t>Dist Amritsar</t>
  </si>
  <si>
    <t>AMROZDEEP KAUR</t>
  </si>
  <si>
    <t>DALJINDER SINGH</t>
  </si>
  <si>
    <t>2025.ALC/A.89</t>
  </si>
  <si>
    <t>765306198232</t>
  </si>
  <si>
    <t>V.P.O Baba Bakala, , Amritsar</t>
  </si>
  <si>
    <t>TARLOK SINGH</t>
  </si>
  <si>
    <t>Parmjit kaur</t>
  </si>
  <si>
    <t>2024.ALC/A.42</t>
  </si>
  <si>
    <t>ALC@12345</t>
  </si>
  <si>
    <t>Preetsardarni46@gmail.com</t>
  </si>
  <si>
    <t>SIMRANJOT KAUR</t>
  </si>
  <si>
    <t>Mohalla jaswant singh, Tarn Taran Tarn Taran Tarn Taran Punjab 143401</t>
  </si>
  <si>
    <t>2025.ALC/A.39</t>
  </si>
  <si>
    <t>H.NO-7072,Gali No-7072,Gali no-1,Batala Road,Indra Colny,Mustafabad,Asr, Amritsar</t>
  </si>
  <si>
    <t>629130593562</t>
  </si>
  <si>
    <t>ARPANDEEP KAUR</t>
  </si>
  <si>
    <t>JASWINDER SINGH</t>
  </si>
  <si>
    <t>2024.ALC/A.43</t>
  </si>
  <si>
    <t>DIVYANSHI SAINI</t>
  </si>
  <si>
    <t>DHARAM PAL</t>
  </si>
  <si>
    <t>Anju Saini</t>
  </si>
  <si>
    <t>2025.ALC/A.90</t>
  </si>
  <si>
    <t>jasasingj1977@gmail.com</t>
  </si>
  <si>
    <t>2 Khaira kotli Gurdaspur Punjab 143521</t>
  </si>
  <si>
    <t>H.no=254,College Road,Bajri Company,, Pathankot</t>
  </si>
  <si>
    <t>653070933808</t>
  </si>
  <si>
    <t>DANISH SHARMA</t>
  </si>
  <si>
    <t>VISHAL SHARMA</t>
  </si>
  <si>
    <t>Beant kaur</t>
  </si>
  <si>
    <t>Ritika</t>
  </si>
  <si>
    <t>2025.ALC/A.110</t>
  </si>
  <si>
    <t>2024.ALC/A.44</t>
  </si>
  <si>
    <t>Komal123456</t>
  </si>
  <si>
    <t>House. No.B- 1347, New Amritsar, G.T. Road Amritsar, Amritsar</t>
  </si>
  <si>
    <t>kbrar2781@gmail.com</t>
  </si>
  <si>
    <t>2 VOP DODA district shri muktsar sahib Punjab 152026</t>
  </si>
  <si>
    <t>district shri muktsar sahib</t>
  </si>
  <si>
    <t>788012040704</t>
  </si>
  <si>
    <t>HARMANPREET KAUR</t>
  </si>
  <si>
    <t>2025.ALC/A.40</t>
  </si>
  <si>
    <t>PRABHDEEP KAUR</t>
  </si>
  <si>
    <t>2024.ALC/A.45</t>
  </si>
  <si>
    <t>Gali NO 4 Deep Avenue, Tarn Taran</t>
  </si>
  <si>
    <t>Ps3136923@gmail.com</t>
  </si>
  <si>
    <t>200 vpo khabbe dogran tarn Taran Vpo khabbe dogran tarn Taran Tarn Taran Punjab 143401</t>
  </si>
  <si>
    <t>GURSHANPREET SINGH</t>
  </si>
  <si>
    <t>WARYAM SINGH</t>
  </si>
  <si>
    <t>494368374666</t>
  </si>
  <si>
    <t>Ramandeep Kaur</t>
  </si>
  <si>
    <t>2025.ALC/A.111</t>
  </si>
  <si>
    <t>H NO-B-2/405, Gali Guru Har Rai Public School Wali,Jandiala Road , Tarn- Taran</t>
  </si>
  <si>
    <t>2024.ALC/A.46</t>
  </si>
  <si>
    <t>komal123</t>
  </si>
  <si>
    <t>komalkaur37963796@gmail.com</t>
  </si>
  <si>
    <t>H.no.1403 gali no. 3 Taran tarn road Amritsar Punjab 143001</t>
  </si>
  <si>
    <t>695834058329</t>
  </si>
  <si>
    <t>Baljinder Kaur</t>
  </si>
  <si>
    <t>2025.ALC/A.91</t>
  </si>
  <si>
    <t>MANNAN KAUR</t>
  </si>
  <si>
    <t>Anju kaur</t>
  </si>
  <si>
    <t>Othian, , Amritsar</t>
  </si>
  <si>
    <t>2024.ALC/A.47</t>
  </si>
  <si>
    <t>mannugill253@gmail.com</t>
  </si>
  <si>
    <t>Patti Patti Punjab 143416</t>
  </si>
  <si>
    <t>DALJIT KAUR</t>
  </si>
  <si>
    <t>Palwinder Kaur</t>
  </si>
  <si>
    <t>2025.ALC/A.41</t>
  </si>
  <si>
    <t>NISHU</t>
  </si>
  <si>
    <t>RAJINDER KUMAR</t>
  </si>
  <si>
    <t>Daffar,Khadur Sahib,, Tarn- Taran</t>
  </si>
  <si>
    <t>Ruksana</t>
  </si>
  <si>
    <t>2024.ALC/A.48</t>
  </si>
  <si>
    <t>nishakhokhar715@gmail.com</t>
  </si>
  <si>
    <t>Grain market shop no.90 Town Jalalabad, fazilka punjab Punjab 152024</t>
  </si>
  <si>
    <t>Jalalabad, fazilka punjab</t>
  </si>
  <si>
    <t>GURLEEN KAUR</t>
  </si>
  <si>
    <t>2025.ALC/A.93</t>
  </si>
  <si>
    <t>933958708029</t>
  </si>
  <si>
    <t>Thathian, Thathian,PO;Bundala Dist Amritsar, Amritsar</t>
  </si>
  <si>
    <t>NAVJOT</t>
  </si>
  <si>
    <t>Harpreet kaur</t>
  </si>
  <si>
    <t>2024.ALC/A.49</t>
  </si>
  <si>
    <t>SAHIL</t>
  </si>
  <si>
    <t>SURINDER KUMAR</t>
  </si>
  <si>
    <t>navyabhkt098@gmail.com</t>
  </si>
  <si>
    <t>Indu Bala</t>
  </si>
  <si>
    <t>House number-5 Village Tarn Taran Punjab 143117</t>
  </si>
  <si>
    <t>2025.ALC/A.59</t>
  </si>
  <si>
    <t>Jandiala Road Fatak,Pardan Wali Gali, Tarn-Taran</t>
  </si>
  <si>
    <t>323417061075</t>
  </si>
  <si>
    <t>SNEHDIP KAUR</t>
  </si>
  <si>
    <t>SUKHWINDER SINGH</t>
  </si>
  <si>
    <t>Palwinder kaur</t>
  </si>
  <si>
    <t>2024.ALC/A.53</t>
  </si>
  <si>
    <t>snehdipkaur789@gmail.com</t>
  </si>
  <si>
    <t>BALDEEP SINGH</t>
  </si>
  <si>
    <t>Vill. Pallah , p.o. Gaggarbhana, Teh. Baba bakala, dist. Amritsar (143205) Vill. Pallah , p.o. Gaggarbhana, Teh. Baba bakala, dist. Amritsar (143205) Amritsar Punjab 143205</t>
  </si>
  <si>
    <t>PALWINDER SINGH</t>
  </si>
  <si>
    <t>Manvinder Kaur</t>
  </si>
  <si>
    <t>2025.ALC/A.60</t>
  </si>
  <si>
    <t>Fatehabad ,, Tarn- Taran</t>
  </si>
  <si>
    <t>410144496030</t>
  </si>
  <si>
    <t>MAHIMA</t>
  </si>
  <si>
    <t>AJAY KUMAR</t>
  </si>
  <si>
    <t>Sunita</t>
  </si>
  <si>
    <t>DAMANPREET KAUR</t>
  </si>
  <si>
    <t>2025.ALC/A.42</t>
  </si>
  <si>
    <t>2024.ALC/A.54</t>
  </si>
  <si>
    <t>Plot No-465, New Medical Enclave ,, Amritsar</t>
  </si>
  <si>
    <t>damanpreetkauraytan64@gamil.com</t>
  </si>
  <si>
    <t>Chohla sahib , tehsil Tarn taran , dist Tarn taran</t>
  </si>
  <si>
    <t>143408</t>
  </si>
  <si>
    <t>ANSH</t>
  </si>
  <si>
    <t>Meenakshi</t>
  </si>
  <si>
    <t>2025.ALC/A.116</t>
  </si>
  <si>
    <t>453339814217</t>
  </si>
  <si>
    <t>88,Feet Road, Gali Gurukul School Wali, OPP. Gurukul,School, Laxmi Vihar, Majitha Road,, Amritsar</t>
  </si>
  <si>
    <t>PARMEET KAUR</t>
  </si>
  <si>
    <t>Sukhjit kaur</t>
  </si>
  <si>
    <t>2024.ALC/A.100</t>
  </si>
  <si>
    <t>Parneet Kaur</t>
  </si>
  <si>
    <t>Kaurmeet222005@gmail.com</t>
  </si>
  <si>
    <t>2025.ALC/A.117</t>
  </si>
  <si>
    <t>Patti sadhu , near Bhupendra karyana Store , chohla sahib;tarn taran Chohla sahib Chohla sahib Punjab 143408</t>
  </si>
  <si>
    <t>Chohla sahib</t>
  </si>
  <si>
    <t>718,Sekhopura Mohalla, Amritsar-1,Shaheed Udham Singh Chowk,Jandiala Guru,, Amritsar</t>
  </si>
  <si>
    <t>533426316515</t>
  </si>
  <si>
    <t>JASLEEN KAUR</t>
  </si>
  <si>
    <t>AMRITPREET KAUR</t>
  </si>
  <si>
    <t>Sarbjit Kaur</t>
  </si>
  <si>
    <t>Manpreet kaur</t>
  </si>
  <si>
    <t>2025.ALC/A.44</t>
  </si>
  <si>
    <t>2024.ALC/A.101</t>
  </si>
  <si>
    <t>Nangal Guru,Jandiala Guru,, Amritsar</t>
  </si>
  <si>
    <t>akaur124178@gmail.com</t>
  </si>
  <si>
    <t>V.P.O bal khurd Fategarh churian road asr 143601 V.P.O bal khurd Fategarh churian road asr 143601 Amritsar Punjab 143601</t>
  </si>
  <si>
    <t>697827872825</t>
  </si>
  <si>
    <t>Parmjeeet Kaur</t>
  </si>
  <si>
    <t>2025.ALC/A.45</t>
  </si>
  <si>
    <t>BIKRAMJIT SINGH</t>
  </si>
  <si>
    <t>Simranjit kaur</t>
  </si>
  <si>
    <t>VPO-Khabbe Rajputan Teh Baba Bakala, Khabba Rajputan ,, Amritsar</t>
  </si>
  <si>
    <t>2024.ALC/A.76</t>
  </si>
  <si>
    <t>22-08-2004</t>
  </si>
  <si>
    <t>ehsggfcgd@gmail.com</t>
  </si>
  <si>
    <t>4930 jandiala guru amritsar Punjab 143115</t>
  </si>
  <si>
    <t>amritsar</t>
  </si>
  <si>
    <t>GURPREET SINGH</t>
  </si>
  <si>
    <t>Charanjit Kaur</t>
  </si>
  <si>
    <t>2025.ALC/A.98</t>
  </si>
  <si>
    <t>H.NO-681,Phase-2,Goindwal Sahib, Tarn- Taran</t>
  </si>
  <si>
    <t>GURSEWAK SINGH</t>
  </si>
  <si>
    <t>BUTA SINGH</t>
  </si>
  <si>
    <t>Parminder kaur</t>
  </si>
  <si>
    <t>2024.ALC/A.77</t>
  </si>
  <si>
    <t>Malhi0032@</t>
  </si>
  <si>
    <t>singhgursewak6806@gmail.com</t>
  </si>
  <si>
    <t>vpo mallian district amritsar Mallian Amritsar Punjab 143149</t>
  </si>
  <si>
    <t>MANNATDEEP KAUR</t>
  </si>
  <si>
    <t>HARDAWINDER SINGH</t>
  </si>
  <si>
    <t>Sharanjeet Kaur</t>
  </si>
  <si>
    <t>2025.ALC/A.99</t>
  </si>
  <si>
    <t>Mohalla Namberdaran Da,Fatehbad,, Tarn- Taran</t>
  </si>
  <si>
    <t>947837660078</t>
  </si>
  <si>
    <t>SUBNEET KAUR</t>
  </si>
  <si>
    <t>GURDEV SINGH</t>
  </si>
  <si>
    <t>2024.ALC/A.56</t>
  </si>
  <si>
    <t>kshubhneet021@gmail.com</t>
  </si>
  <si>
    <t>0 Tarn Taran Tarn Taran Punjab 143401</t>
  </si>
  <si>
    <t>GURDARSHAN SINGH</t>
  </si>
  <si>
    <t>2025.ALC/A.100</t>
  </si>
  <si>
    <t>V.P.O Tharu, , Tarn- Taran</t>
  </si>
  <si>
    <t>205286255807</t>
  </si>
  <si>
    <t>MUSKANPREET KAUR</t>
  </si>
  <si>
    <t>2024.ALC/A.102</t>
  </si>
  <si>
    <t>HARRY</t>
  </si>
  <si>
    <t>muskanpreetkaur2607@gmail.com</t>
  </si>
  <si>
    <t>VIJAY</t>
  </si>
  <si>
    <t>Amarjit Kaur</t>
  </si>
  <si>
    <t>Guru Arjan dev nagar , chowk sakhira, goindwal bypass ,Tarn Taran Town Tarn Taran Punjab 143401</t>
  </si>
  <si>
    <t>2025.ALC/A.61</t>
  </si>
  <si>
    <t>Gali no-07,Subash Colony,88 Foot Road,Mustfabad Batala Road,, Amritsar</t>
  </si>
  <si>
    <t>782192288550</t>
  </si>
  <si>
    <t>TANIYA</t>
  </si>
  <si>
    <t>THURU RAM</t>
  </si>
  <si>
    <t>2024.ALC/A.103</t>
  </si>
  <si>
    <t>MEHAK</t>
  </si>
  <si>
    <t>OMKAR SINGH</t>
  </si>
  <si>
    <t>Simranjeet kaur</t>
  </si>
  <si>
    <t>2025.ALC/A.46</t>
  </si>
  <si>
    <t>rajjputtaniya277@gnail.com</t>
  </si>
  <si>
    <t>Near rsd office Village trehti post office shahpurkandi Pathankot Punjab 145029</t>
  </si>
  <si>
    <t>Village Chak Ghubai Uraf Taran Wali,Mamdot Uttar,, Ferozepur</t>
  </si>
  <si>
    <t>510777358946</t>
  </si>
  <si>
    <t>VATTANPREET KAUR</t>
  </si>
  <si>
    <t>JASVIR SINGH</t>
  </si>
  <si>
    <t>Gurjinder kaur</t>
  </si>
  <si>
    <t>2025.ALC/A.101</t>
  </si>
  <si>
    <t>2024.ALC/A.104</t>
  </si>
  <si>
    <t>Muglani,Khadoor Sahib, Tarn-Taran</t>
  </si>
  <si>
    <t>hs2610483@gmail.com</t>
  </si>
  <si>
    <t>Gurdaspur new shalla .. house number 701 Bahadur near mandir nawa shalla Gurdaspur Punjab 143530</t>
  </si>
  <si>
    <t>622008996123</t>
  </si>
  <si>
    <t>ANGADBIR SINGH</t>
  </si>
  <si>
    <t>HARMEET SINGH</t>
  </si>
  <si>
    <t>2025.ALC/A.62</t>
  </si>
  <si>
    <t>MANGU SINGH</t>
  </si>
  <si>
    <t>2024.ALC/A.105</t>
  </si>
  <si>
    <t>297,Partap Avenue,GT. Road,, Amritsar</t>
  </si>
  <si>
    <t>simu9803900091@gmail.com</t>
  </si>
  <si>
    <t>Kulrain Mansa Punjab 151501</t>
  </si>
  <si>
    <t>Mansa</t>
  </si>
  <si>
    <t>SUKHSIRJAN SINGH</t>
  </si>
  <si>
    <t>909336904025</t>
  </si>
  <si>
    <t>2025.ALC/A.118</t>
  </si>
  <si>
    <t>NEETU</t>
  </si>
  <si>
    <t>Hittu Ki Patti,Bhalojala,, Tarn- Taran</t>
  </si>
  <si>
    <t>2024.ALC/A.57</t>
  </si>
  <si>
    <t>ngill3450@gmail.com</t>
  </si>
  <si>
    <t>Patti bagge wali Verka Amritsar Verka Amritsar Punjab 143501</t>
  </si>
  <si>
    <t>JAI SINGH</t>
  </si>
  <si>
    <t>GURBIR SINGH</t>
  </si>
  <si>
    <t>Amanpreet Kaur</t>
  </si>
  <si>
    <t>2025.ALC/A.63</t>
  </si>
  <si>
    <t>Pati Chandu Ki,Sur Singh,Tarn Taran, , Tarn- Taran</t>
  </si>
  <si>
    <t>522410561993</t>
  </si>
  <si>
    <t>AKWINDER KAUR</t>
  </si>
  <si>
    <t>SUKHA SINGH</t>
  </si>
  <si>
    <t>Manjit kaur</t>
  </si>
  <si>
    <t>2024.ALC/A.58</t>
  </si>
  <si>
    <t>LOVISH SONI</t>
  </si>
  <si>
    <t>RAMESH SONI</t>
  </si>
  <si>
    <t>sukhmani89681@gmail.com</t>
  </si>
  <si>
    <t>2025.ALC/A.64</t>
  </si>
  <si>
    <t>329 Chhajjalwaddi Amritsar Punjab 143149</t>
  </si>
  <si>
    <t>299,Albert Road,, Amritsar</t>
  </si>
  <si>
    <t>982085774947</t>
  </si>
  <si>
    <t>PARVEEN KAUR</t>
  </si>
  <si>
    <t>Inderjit kaur</t>
  </si>
  <si>
    <t>PRABHJOT SINGH</t>
  </si>
  <si>
    <t>2024.ALC/A.60</t>
  </si>
  <si>
    <t>2025.ALC/A.102</t>
  </si>
  <si>
    <t>parveen99153269@gmail.com</t>
  </si>
  <si>
    <t>Ward No.3,Gali Prota Wali, Raja Sansi,, Amritsar</t>
  </si>
  <si>
    <t>16 Nag kalan Amritsar Punjab 143601</t>
  </si>
  <si>
    <t>623545238482</t>
  </si>
  <si>
    <t>SHUBHKARANPREET SINGH</t>
  </si>
  <si>
    <t>DAVINDER SINGH</t>
  </si>
  <si>
    <t>Rajdeep Kaur</t>
  </si>
  <si>
    <t>2025.ALC/A.113</t>
  </si>
  <si>
    <t>BALKAR SINGH</t>
  </si>
  <si>
    <t>Rajwant kaur</t>
  </si>
  <si>
    <t>2024.ALC/A.61</t>
  </si>
  <si>
    <t>VPO-Dhotian,, Tarn- Taran</t>
  </si>
  <si>
    <t>Kaurjaismeen69@gmail.com</t>
  </si>
  <si>
    <t>405 Jabbowal Amritsar Punjab 143116</t>
  </si>
  <si>
    <t>478455322526</t>
  </si>
  <si>
    <t>MAHIR KOHLI</t>
  </si>
  <si>
    <t>RAJESH KOHLI</t>
  </si>
  <si>
    <t>Sonika Kohli</t>
  </si>
  <si>
    <t>2025.ALC/A.114</t>
  </si>
  <si>
    <t>BHWANJOT KAUR</t>
  </si>
  <si>
    <t>HARPREET SINGH</t>
  </si>
  <si>
    <t>PARMJIT KAUR</t>
  </si>
  <si>
    <t>2024.ALC/A.106</t>
  </si>
  <si>
    <t>H No,1417,Gali No 5 Sunder Nagar Kot Khalsa,, Amritsar</t>
  </si>
  <si>
    <t>bhawanjot1616@gmail.com</t>
  </si>
  <si>
    <t>Thathi Khara, Tarn-Taran, Punjab</t>
  </si>
  <si>
    <t>SHUBHPREET SINGH</t>
  </si>
  <si>
    <t>Harmeet Kaur</t>
  </si>
  <si>
    <t>4957 6646 4820</t>
  </si>
  <si>
    <t>2025.ALC/A.115</t>
  </si>
  <si>
    <t>Kotla Bathungarh, Amritsar, Amritsar</t>
  </si>
  <si>
    <t>NAVRAJ SINGH</t>
  </si>
  <si>
    <t>SUKHJIWAN SINGH</t>
  </si>
  <si>
    <t>Prabjit kaur</t>
  </si>
  <si>
    <t>2024.ALC/A.73</t>
  </si>
  <si>
    <t>shubbsumit1@gmail.com</t>
  </si>
  <si>
    <t>911 Manawala kalan Amritsar Amritsar Punjab 143115</t>
  </si>
  <si>
    <t>ZENIA SINGH</t>
  </si>
  <si>
    <t>PANCHHAM SINGH</t>
  </si>
  <si>
    <t>Daljit Kaur</t>
  </si>
  <si>
    <t>2025.ALC/A.94</t>
  </si>
  <si>
    <t>5083809612354</t>
  </si>
  <si>
    <t>207 First Floor,Maqboolpura Road,Railway Crossing,Guru Teg Bahadur Nagar,, Amritsar</t>
  </si>
  <si>
    <t>SIKANDER KAPOOR</t>
  </si>
  <si>
    <t>ATUL KAPOOR</t>
  </si>
  <si>
    <t>Shalini kapoor</t>
  </si>
  <si>
    <t>2024.ALC/A.120</t>
  </si>
  <si>
    <t>18-02-2004</t>
  </si>
  <si>
    <t>Sikanderkapoor21@gmail.com</t>
  </si>
  <si>
    <t>1225, sector 8-c, chandigarh Chandigarh Chandigarh Punjab 160009</t>
  </si>
  <si>
    <t>SHREYA</t>
  </si>
  <si>
    <t>Chandigarh</t>
  </si>
  <si>
    <t>Poonam</t>
  </si>
  <si>
    <t>2025.ALC/A.43</t>
  </si>
  <si>
    <t>3854,Gali Kashmerian Wali,Jandiala Guru,, Amritsar</t>
  </si>
  <si>
    <t>Rajwinder kaur</t>
  </si>
  <si>
    <t>2024.ALC/A.52</t>
  </si>
  <si>
    <t>JASPREET SINGH</t>
  </si>
  <si>
    <t>JAGMEET SINGH</t>
  </si>
  <si>
    <t>Preeti Kajal</t>
  </si>
  <si>
    <t>2025.ALC/A.66</t>
  </si>
  <si>
    <t>satnamburj10@gmail.com</t>
  </si>
  <si>
    <t>Burj puhla, Harike pattan, Tarn Taran, Punjab-143412 Burj puhla Harike pattan Punjab 143412</t>
  </si>
  <si>
    <t>Harike pattan</t>
  </si>
  <si>
    <t>425,Guru Arjan Dev Nagar,, Amritsar</t>
  </si>
  <si>
    <t>536453811142</t>
  </si>
  <si>
    <t>KHAWAISH</t>
  </si>
  <si>
    <t>RAVI KUMAR</t>
  </si>
  <si>
    <t>Usha Rani</t>
  </si>
  <si>
    <t>2025.ALC/A.47</t>
  </si>
  <si>
    <t>2024.ALC/A.74</t>
  </si>
  <si>
    <t>Po:Sapna Station/Teh Pathankot/Vill Barth Sahib,, Gurdaspur</t>
  </si>
  <si>
    <t>harshpreetkaur233@gmail.com</t>
  </si>
  <si>
    <t>365 Town Amritsar Punjab 143001</t>
  </si>
  <si>
    <t>781298516451</t>
  </si>
  <si>
    <t>PAMI</t>
  </si>
  <si>
    <t>Sudha Kumari</t>
  </si>
  <si>
    <t>SNEHA</t>
  </si>
  <si>
    <t>2025.ALC/A.48</t>
  </si>
  <si>
    <t>PARTAP</t>
  </si>
  <si>
    <t>Rekha</t>
  </si>
  <si>
    <t>2024.ALC/A.98</t>
  </si>
  <si>
    <t>2280, gali no. 9, Sharifpura, Amritsar</t>
  </si>
  <si>
    <t>Snehajadhav622@gmail.com</t>
  </si>
  <si>
    <t>1449/11, gali daligirah, khoo bambay wala, inside hati gate Amritsar Amritsar Punjab 143001</t>
  </si>
  <si>
    <t>AMANPREET KAUR</t>
  </si>
  <si>
    <t>Sharanjit Kaur</t>
  </si>
  <si>
    <t>2025.ALC/A.104</t>
  </si>
  <si>
    <t>842055793010</t>
  </si>
  <si>
    <t>Near Sajjan Petrol Pump,Baba Deep Singh Nagar,Sarhali Road,, Tarn Taran</t>
  </si>
  <si>
    <t>SUDKSHNA SHARMA</t>
  </si>
  <si>
    <t>SUBASH CHANDER</t>
  </si>
  <si>
    <t>Shoba Rani</t>
  </si>
  <si>
    <t>2024.ALC/A.99</t>
  </si>
  <si>
    <t>MANJOT SINGH</t>
  </si>
  <si>
    <t>sudkshnasharma142@gmail.com</t>
  </si>
  <si>
    <t>Jasmeet Kaur</t>
  </si>
  <si>
    <t>Udhampur Jammu Jammu &amp; Kashmir 182101</t>
  </si>
  <si>
    <t>2025.ALC/A.120</t>
  </si>
  <si>
    <t>Jammu</t>
  </si>
  <si>
    <t>Jammu &amp; Kashmir</t>
  </si>
  <si>
    <t>110,New Kishan Kot Islamabad,, Amritsar</t>
  </si>
  <si>
    <t>645391884529</t>
  </si>
  <si>
    <t>MUKHWINDER SINGH</t>
  </si>
  <si>
    <t>LAKHWINDER SINGH</t>
  </si>
  <si>
    <t>Lakhvir Kaur</t>
  </si>
  <si>
    <t>2025.ALC/A.67</t>
  </si>
  <si>
    <t>MINTU</t>
  </si>
  <si>
    <t>RAMBRICH</t>
  </si>
  <si>
    <t>Savitri devi</t>
  </si>
  <si>
    <t>2024.ALC/A.121</t>
  </si>
  <si>
    <t>793, Mohalla Sekhopur, PO Jandiala Guru , Amritsar</t>
  </si>
  <si>
    <t>Mintu000</t>
  </si>
  <si>
    <t>mintuk7538@gmail.com</t>
  </si>
  <si>
    <t>146 printewll Mehta road Amritsar Amritsar Punjab 143001</t>
  </si>
  <si>
    <t>842988298426</t>
  </si>
  <si>
    <t>HARWINDER SINGH</t>
  </si>
  <si>
    <t>Kuldeep Kaur</t>
  </si>
  <si>
    <t>2025.ALC/A.105</t>
  </si>
  <si>
    <t>KARUNA KATOCH</t>
  </si>
  <si>
    <t>RAJINDER SINGH</t>
  </si>
  <si>
    <t>Kamla Devi</t>
  </si>
  <si>
    <t>2024.ALC/A.97</t>
  </si>
  <si>
    <t>Naraingarh,Jobbowal,, Amritsar</t>
  </si>
  <si>
    <t>katochkaruna32@gmail.com</t>
  </si>
  <si>
    <t>GURMET SPALDON</t>
  </si>
  <si>
    <t>NAWANG NAMGAL</t>
  </si>
  <si>
    <t>Chosnit Zangmo</t>
  </si>
  <si>
    <t>2025.ALC/A.96</t>
  </si>
  <si>
    <t>752934332157</t>
  </si>
  <si>
    <t>9 Nomojorpa Skara Yokma,Skara,, Leh</t>
  </si>
  <si>
    <t>ANANAYA SHARMA</t>
  </si>
  <si>
    <t>RAKESH SHARMA</t>
  </si>
  <si>
    <t>Saloni Sharma</t>
  </si>
  <si>
    <t>2024.ALC/A.94</t>
  </si>
  <si>
    <t>ananayasharma07@gmail.com</t>
  </si>
  <si>
    <t>House no. 0028 Udhampur Jammu Jammu &amp; Kashmir 182101</t>
  </si>
  <si>
    <t>ALIA ASRAF</t>
  </si>
  <si>
    <t>ASRAF ALAM</t>
  </si>
  <si>
    <t>Rounaque Perween</t>
  </si>
  <si>
    <t>2025.ALC/A.97</t>
  </si>
  <si>
    <t>Line Maleria Office,_x000D_
 , Kishanganj</t>
  </si>
  <si>
    <t>982307442669</t>
  </si>
  <si>
    <t>KHUSHI NISHAD</t>
  </si>
  <si>
    <t>SUBHASH</t>
  </si>
  <si>
    <t>2006.ABC/A.123456</t>
  </si>
  <si>
    <t>HARMAN KAUR</t>
  </si>
  <si>
    <t>Kawaljeet Kaur</t>
  </si>
  <si>
    <t>2025.ALC/A.103</t>
  </si>
  <si>
    <t>Kachauri Gali, Punjabi Colony Chowk, , Patna</t>
  </si>
  <si>
    <t>itsharu16@gmail.com</t>
  </si>
  <si>
    <t>P-5 Baird place near gopinath bazaar Delhi cantt, New delhi New Delhi Delhi cantt Delhi 110010</t>
  </si>
  <si>
    <t>Delhi cantt</t>
  </si>
  <si>
    <t>Delhi</t>
  </si>
  <si>
    <t>YUVRAJ SINGH SANDHU</t>
  </si>
  <si>
    <t>GURCHARAN SINGH SANDHU</t>
  </si>
  <si>
    <t>Ramandeep Kaur Sandhu</t>
  </si>
  <si>
    <t>2025.ALC/A.119</t>
  </si>
  <si>
    <t>H.no.392, E- Block Ranjit Avenue,, Amritsar</t>
  </si>
  <si>
    <t>499933632507</t>
  </si>
  <si>
    <t>HANPREET SINGH BALI</t>
  </si>
  <si>
    <t>HARMESH LAL BALI</t>
  </si>
  <si>
    <t>Harmesh Kaur</t>
  </si>
  <si>
    <t>RAGHU PARTAP SINGH</t>
  </si>
  <si>
    <t>2024.ALC/A.113</t>
  </si>
  <si>
    <t>Rita Rani</t>
  </si>
  <si>
    <t>2025.ALC/A.112</t>
  </si>
  <si>
    <t>Hanpreetsinghbali01@gmail.com</t>
  </si>
  <si>
    <t>Pakhlai,, Udhampur</t>
  </si>
  <si>
    <t>VPO Ghataron Ghataron, via Sahlon Distt S.B.S Nagar (Nawanshahr) Punjab 144421</t>
  </si>
  <si>
    <t>Distt S.B.S Nagar (Nawanshahr)</t>
  </si>
  <si>
    <t>986772976862</t>
  </si>
  <si>
    <t>SEHAJBIR SINGH</t>
  </si>
  <si>
    <t>Kulbir Kaur</t>
  </si>
  <si>
    <t>2025.ALC/A.122</t>
  </si>
  <si>
    <t>SATBIR SINGH</t>
  </si>
  <si>
    <t>YOGPAUL SINGH</t>
  </si>
  <si>
    <t>Bhupinder kaur</t>
  </si>
  <si>
    <t>2024.ALC/A.117</t>
  </si>
  <si>
    <t>12,Gali no-1,Hargobind Avenue,Chheharta,, Amritsar</t>
  </si>
  <si>
    <t>Satbir16singh@gmail.com</t>
  </si>
  <si>
    <t>Village Barnoti District kathua (J&amp;k) Village barnoti Kathua Jammu &amp; Kashmir 184143</t>
  </si>
  <si>
    <t>Kathua</t>
  </si>
  <si>
    <t>KARTIK BHATIA</t>
  </si>
  <si>
    <t>SURESH BHATIA</t>
  </si>
  <si>
    <t>Kriti Bhatia</t>
  </si>
  <si>
    <t>2025.DB /A.154</t>
  </si>
  <si>
    <t>950428752782</t>
  </si>
  <si>
    <t>Bhatia Gali.Qilla Mandi Batala,, Amritsar</t>
  </si>
  <si>
    <t>ANISHA KALYAN</t>
  </si>
  <si>
    <t>KEWAL SINGH</t>
  </si>
  <si>
    <t>Kulwant Kaur</t>
  </si>
  <si>
    <t>2024.ALC/A.79</t>
  </si>
  <si>
    <t>Anisha@123</t>
  </si>
  <si>
    <t>anishakalyan2006@gmail.com</t>
  </si>
  <si>
    <t>C/O Swaran Singh,House no.53,Baba Deep Singh Avenue,Gali Shiv Mandir,Naraingrah,Chheharta Amritsar Village Amritsar Punjab 143117</t>
  </si>
  <si>
    <t>RADHIKA</t>
  </si>
  <si>
    <t>SUDHIR KUMAR</t>
  </si>
  <si>
    <t>Meenakashi</t>
  </si>
  <si>
    <t>2025.ALC/A.121</t>
  </si>
  <si>
    <t>H.no-2072,Palah Sahib Road,Friends Avenue,, Amritsar</t>
  </si>
  <si>
    <t>873376824882</t>
  </si>
  <si>
    <t>2023- 2028</t>
  </si>
  <si>
    <t>JASMEEN SHERGILL</t>
  </si>
  <si>
    <t>MANVEER SINGH</t>
  </si>
  <si>
    <t>2025.ALC/A.123</t>
  </si>
  <si>
    <t>BHUPINDER KAUR</t>
  </si>
  <si>
    <t>2021.BC /A.225</t>
  </si>
  <si>
    <t>Green City Colony Qadian Road,Batala,, Gurdaspur</t>
  </si>
  <si>
    <t>manvirrandhawa0007@gmail.com</t>
  </si>
  <si>
    <t>OFFICER AVENUE WARD NO 2 GALI NO 5,TARNTARAN,PUNJAB-143401</t>
  </si>
  <si>
    <t>DR. SHIVANI ARORA</t>
  </si>
  <si>
    <t>581533135155</t>
  </si>
  <si>
    <t>LOHIT RAJNISH SHARMA</t>
  </si>
  <si>
    <t>RAJNISH SHARMA</t>
  </si>
  <si>
    <t>Sunanda Sharma</t>
  </si>
  <si>
    <t>2021.H /A.119</t>
  </si>
  <si>
    <t>1234</t>
  </si>
  <si>
    <t>sharmalohit36@gmail.com</t>
  </si>
  <si>
    <t>House no45,b block ,new Amritsar colony , Amritsar</t>
  </si>
  <si>
    <t>230552361194</t>
  </si>
  <si>
    <t>RAJBIR KAUR</t>
  </si>
  <si>
    <t>2021.NZ / .1567</t>
  </si>
  <si>
    <t>raj7970697@gmail.com</t>
  </si>
  <si>
    <t>140 Rure asal Tarn Taran Punjab 143401</t>
  </si>
  <si>
    <t>564315528732</t>
  </si>
  <si>
    <t>ARJUN</t>
  </si>
  <si>
    <t>JAGAT RAM</t>
  </si>
  <si>
    <t>Sarabjit kour</t>
  </si>
  <si>
    <t>2022.ALC/A.43</t>
  </si>
  <si>
    <t>arsarjun741@gmail.com</t>
  </si>
  <si>
    <t>H no 736 sanjay gandhi colony Amritsar</t>
  </si>
  <si>
    <t>243415430817</t>
  </si>
  <si>
    <t>DHARAMPAL SINGH</t>
  </si>
  <si>
    <t>2022.ODL/A.143</t>
  </si>
  <si>
    <t>jkamboj1921@gmail.com</t>
  </si>
  <si>
    <t>H.no 1166,gali Ali munshian wali, chowk chabutra</t>
  </si>
  <si>
    <t>783079009561</t>
  </si>
  <si>
    <t>ANNU BALA</t>
  </si>
  <si>
    <t>2023.ALC/A.55</t>
  </si>
  <si>
    <t>ys878908@gmail.com</t>
  </si>
  <si>
    <t>H NO 42, ANAIT PURA</t>
  </si>
  <si>
    <t>Ajnala, Punjab 143102, India</t>
  </si>
  <si>
    <t>SC</t>
  </si>
  <si>
    <t>AB +</t>
  </si>
  <si>
    <t>840158714840</t>
  </si>
  <si>
    <t>DEEPANSHU</t>
  </si>
  <si>
    <t>KRISHAN SONI</t>
  </si>
  <si>
    <t>Poonam Soni</t>
  </si>
  <si>
    <t>2023.ALC/A.99</t>
  </si>
  <si>
    <t>Deepanshu@2005</t>
  </si>
  <si>
    <t>deepanshusoni1102@gmail.com</t>
  </si>
  <si>
    <t>F13/678,Nehru colony,Majitha Road , Amritsar</t>
  </si>
  <si>
    <t>240511414648</t>
  </si>
  <si>
    <t>ASAWARI BEDI</t>
  </si>
  <si>
    <t>ROSHAN BEDI</t>
  </si>
  <si>
    <t>Shamma rani</t>
  </si>
  <si>
    <t>2023.ALC/A.1</t>
  </si>
  <si>
    <t>Asawaribedi12@gmail.com</t>
  </si>
  <si>
    <t>#222 Shiv nagar colonu,Islamabad Amritsar Punjab 143001</t>
  </si>
  <si>
    <t>APRNA KAUR</t>
  </si>
  <si>
    <t>2023.ALC/A.2</t>
  </si>
  <si>
    <t>ggillsaab066@gmail.com</t>
  </si>
  <si>
    <t>Bhure gill Tarn Taran Punjab 143302</t>
  </si>
  <si>
    <t>710170752492</t>
  </si>
  <si>
    <t>NABI</t>
  </si>
  <si>
    <t>DANIAL</t>
  </si>
  <si>
    <t>Suman</t>
  </si>
  <si>
    <t>2023.ALC/A.56</t>
  </si>
  <si>
    <t>mattunabi@gmail.com</t>
  </si>
  <si>
    <t>VPO Gumtala , link road , Amritsar</t>
  </si>
  <si>
    <t>143008</t>
  </si>
  <si>
    <t>Christians</t>
  </si>
  <si>
    <t>889666564120</t>
  </si>
  <si>
    <t>SANDEEP KAUR</t>
  </si>
  <si>
    <t>PIPPAL SINGH</t>
  </si>
  <si>
    <t>Swarn kaur</t>
  </si>
  <si>
    <t>2023.ALC/A.3</t>
  </si>
  <si>
    <t>SANDEEPAULAKH001@gmail.com</t>
  </si>
  <si>
    <t>Village baupur bet , post office Danewal, district Jalandhar ,pin code 144041</t>
  </si>
  <si>
    <t>Jalandhar</t>
  </si>
  <si>
    <t>307049809582</t>
  </si>
  <si>
    <t>SIMRANJIT</t>
  </si>
  <si>
    <t>GULSHAN CHAND</t>
  </si>
  <si>
    <t>Raji</t>
  </si>
  <si>
    <t>2023.ALC/A.4</t>
  </si>
  <si>
    <t>Simranhans2005@gmail.com</t>
  </si>
  <si>
    <t>GUMTALA SUB URBAN Gumtala Amritsar Punjab 143008</t>
  </si>
  <si>
    <t>827061948720</t>
  </si>
  <si>
    <t>2023.ALC/A.5</t>
  </si>
  <si>
    <t>Amritpal2005</t>
  </si>
  <si>
    <t>Sk3721950@gmail.com</t>
  </si>
  <si>
    <t>137 Kot khalsa Amritsar Punjab 143001</t>
  </si>
  <si>
    <t>RIPANPREET KAUR</t>
  </si>
  <si>
    <t>PARWINDER SINGH</t>
  </si>
  <si>
    <t>Rajindar kaur</t>
  </si>
  <si>
    <t>2023.ALC/A.6</t>
  </si>
  <si>
    <t>rohanpreetsingh002584@gmail.com</t>
  </si>
  <si>
    <t>Vill. Mahijitpur , PO. Parmjeetpur Mahijitpur Sultanpur Lodhi Punjab 144626</t>
  </si>
  <si>
    <t>Sultanpur Lodhi</t>
  </si>
  <si>
    <t>221477294133</t>
  </si>
  <si>
    <t>ANMOLDEEP KAUR</t>
  </si>
  <si>
    <t>HASBIR SINGH</t>
  </si>
  <si>
    <t>2023.ALC/A.7</t>
  </si>
  <si>
    <t>NAVNEET KAUR</t>
  </si>
  <si>
    <t>PREM SINGH</t>
  </si>
  <si>
    <t>RAJWINDER KAUR</t>
  </si>
  <si>
    <t>2023.ALC/A.8</t>
  </si>
  <si>
    <t>Bhoa@123</t>
  </si>
  <si>
    <t>Navneetkaur91341@gmail.com</t>
  </si>
  <si>
    <t>kothi Prem Singh Pathankot Punjab 143534</t>
  </si>
  <si>
    <t>612241037540</t>
  </si>
  <si>
    <t>GURBAKSH SINGH</t>
  </si>
  <si>
    <t>Baljit kaur</t>
  </si>
  <si>
    <t>2023.ALC/A.10</t>
  </si>
  <si>
    <t>Bhagtanamanjot0@gmail.com</t>
  </si>
  <si>
    <t>Daburji medart hospital Daburji Amritsar Punjab 143001</t>
  </si>
  <si>
    <t>685993027979</t>
  </si>
  <si>
    <t>SANJAY SINGH</t>
  </si>
  <si>
    <t>Durgawati devi</t>
  </si>
  <si>
    <t>2023.ALC/A.57</t>
  </si>
  <si>
    <t>raj698914@gmail.com</t>
  </si>
  <si>
    <t>10 Tarn taran Tarn taran Punjab 143401</t>
  </si>
  <si>
    <t>605480397924</t>
  </si>
  <si>
    <t>TANMAY SHARMA</t>
  </si>
  <si>
    <t>SOMDEV SHARMA</t>
  </si>
  <si>
    <t>2023.ALC/A.101</t>
  </si>
  <si>
    <t>zmnopk@gmail.com</t>
  </si>
  <si>
    <t>Hno.1750,subhash gali bara makan,islamabad,Amritsar</t>
  </si>
  <si>
    <t>143002</t>
  </si>
  <si>
    <t>516828443453</t>
  </si>
  <si>
    <t>PAWANPREET KAUR</t>
  </si>
  <si>
    <t>HARMESH SINGH</t>
  </si>
  <si>
    <t>2023.ALC/A.11</t>
  </si>
  <si>
    <t>Pawanpreet67199@gmail.com</t>
  </si>
  <si>
    <t>Muglani khadoor sahib Tarn taran Punjab 143117</t>
  </si>
  <si>
    <t>611810492203</t>
  </si>
  <si>
    <t>ANJU</t>
  </si>
  <si>
    <t>RAJU SINGH</t>
  </si>
  <si>
    <t>2023.ALC/A.12</t>
  </si>
  <si>
    <t>anjukaur3715@gmail.com</t>
  </si>
  <si>
    <t>813 Jandiala guru Amritsar Punjab 143115</t>
  </si>
  <si>
    <t>884491018424</t>
  </si>
  <si>
    <t>MEJAR SINGH</t>
  </si>
  <si>
    <t>Soni</t>
  </si>
  <si>
    <t>2023.ALC/A.81</t>
  </si>
  <si>
    <t>its.komal8190@gmail.com</t>
  </si>
  <si>
    <t>Khankot Amritsar Punjab 143001</t>
  </si>
  <si>
    <t>724409818473</t>
  </si>
  <si>
    <t>HARNOOR KAUR</t>
  </si>
  <si>
    <t>PARTAP SINGH</t>
  </si>
  <si>
    <t>Darshan kaur</t>
  </si>
  <si>
    <t>2023.ALC/A.13</t>
  </si>
  <si>
    <t>harnoorkaur03809@gmail.com</t>
  </si>
  <si>
    <t>House no.622 Village-manawala kalan Amritsar Punjab 143115</t>
  </si>
  <si>
    <t>556131269743</t>
  </si>
  <si>
    <t>NAVJOT SINGH</t>
  </si>
  <si>
    <t>PARDEEP SINGH</t>
  </si>
  <si>
    <t>Narinder kour</t>
  </si>
  <si>
    <t>2023.ALC/A.102</t>
  </si>
  <si>
    <t>navu31335@gmail.com</t>
  </si>
  <si>
    <t>House no.11 Amritsar Amritsar Punjab 143002</t>
  </si>
  <si>
    <t>250778521559</t>
  </si>
  <si>
    <t>SUKHMANPREET KAUR</t>
  </si>
  <si>
    <t>2023.ALC/A.17</t>
  </si>
  <si>
    <t>sukmansukhman11@gmail.com</t>
  </si>
  <si>
    <t>65 Takhtu chak Jandiala guru Punjab 143115</t>
  </si>
  <si>
    <t>Jandiala guru</t>
  </si>
  <si>
    <t>956582479121</t>
  </si>
  <si>
    <t>2023.ALC/A.19</t>
  </si>
  <si>
    <t>Arshdeepkaurgharu7@gmail.com</t>
  </si>
  <si>
    <t>Urang Sri muktsar sahib Punjab 151210</t>
  </si>
  <si>
    <t>Sri muktsar sahib</t>
  </si>
  <si>
    <t>995869379404</t>
  </si>
  <si>
    <t>KUNNAN SINGH</t>
  </si>
  <si>
    <t>2023.ALC/A.86</t>
  </si>
  <si>
    <t>gurpreetuppal880@gmail.com</t>
  </si>
  <si>
    <t>Fattubhila Amritsar Punjab 143119</t>
  </si>
  <si>
    <t>316570821094</t>
  </si>
  <si>
    <t>Balwinder kaur</t>
  </si>
  <si>
    <t>2023.ALC/A.20</t>
  </si>
  <si>
    <t>p47486956@gmail.com</t>
  </si>
  <si>
    <t>134 Dinewal Tarn Taran Punjab 143406</t>
  </si>
  <si>
    <t>232138908491</t>
  </si>
  <si>
    <t>KOMAL</t>
  </si>
  <si>
    <t>SUKHWINDER KAUR</t>
  </si>
  <si>
    <t>2023.ALC/A.87</t>
  </si>
  <si>
    <t>26komalchandi@gmail.com</t>
  </si>
  <si>
    <t>HNO. 57, STREET NO. 3, JYOTISAR COLONY, JANDIALA GURU, AMRITSAR, 143115</t>
  </si>
  <si>
    <t>AMRITSAR</t>
  </si>
  <si>
    <t>143115</t>
  </si>
  <si>
    <t>MARRIED</t>
  </si>
  <si>
    <t>780377718756</t>
  </si>
  <si>
    <t>HARLEEN KAUR</t>
  </si>
  <si>
    <t>Arminder kaur</t>
  </si>
  <si>
    <t>2023.ALC/A.88</t>
  </si>
  <si>
    <t>Dynamitegirl896@gmail.com</t>
  </si>
  <si>
    <t>House no.A 122 gtb nagar maqboolpura Amritsar Amritsar Punjab 143001</t>
  </si>
  <si>
    <t>299639248414</t>
  </si>
  <si>
    <t>REETU KAUR</t>
  </si>
  <si>
    <t>LACHHMAN SINGH</t>
  </si>
  <si>
    <t>Kirna kaur</t>
  </si>
  <si>
    <t>2023.ALC/A.23</t>
  </si>
  <si>
    <t>24-07-2006</t>
  </si>
  <si>
    <t>Namdeepsingh452@gmail.com</t>
  </si>
  <si>
    <t>420 Guraddi Mansa Punjab 151502</t>
  </si>
  <si>
    <t>NAVDEEP KAUR</t>
  </si>
  <si>
    <t>AMARJIT SINGH</t>
  </si>
  <si>
    <t>Satinder kaur</t>
  </si>
  <si>
    <t>2023.ALC/A.24</t>
  </si>
  <si>
    <t>lovedeepkaur443553@gmail.com</t>
  </si>
  <si>
    <t>Rure assal Tarn Taran Punjab 143401</t>
  </si>
  <si>
    <t>224286892596</t>
  </si>
  <si>
    <t>SUKHMANJIT SINGH</t>
  </si>
  <si>
    <t>2023.ALC/A.104</t>
  </si>
  <si>
    <t>balsukhmanjitsingh@gmail.com</t>
  </si>
  <si>
    <t>Patti khan ki ,sathiala , Amritsar</t>
  </si>
  <si>
    <t>143205</t>
  </si>
  <si>
    <t>404517398834</t>
  </si>
  <si>
    <t>ARZOO</t>
  </si>
  <si>
    <t>SUBHASH CHANDER</t>
  </si>
  <si>
    <t>Veena Rani</t>
  </si>
  <si>
    <t>2023.ALC/A.15</t>
  </si>
  <si>
    <t>princechitrath2222@gmail.com</t>
  </si>
  <si>
    <t>Jhotian wali Dist.fazilka Punjab 152124</t>
  </si>
  <si>
    <t>Dist.fazilka</t>
  </si>
  <si>
    <t>289237966373</t>
  </si>
  <si>
    <t>KIRANJIT KAUR</t>
  </si>
  <si>
    <t>Raj kaur</t>
  </si>
  <si>
    <t>2023.ALC/A.16</t>
  </si>
  <si>
    <t>kanuathwal43@gmil.com</t>
  </si>
  <si>
    <t>VPO dhoul kalan , Amritsar</t>
  </si>
  <si>
    <t>261389486217</t>
  </si>
  <si>
    <t>PARMJIT SINGH</t>
  </si>
  <si>
    <t>rajwant kaur</t>
  </si>
  <si>
    <t>2023.ALC/A.82</t>
  </si>
  <si>
    <t>jkaur092084@gmail.com</t>
  </si>
  <si>
    <t>98 kot mangal singh,tarn taran road amritsar Punjab 143001</t>
  </si>
  <si>
    <t>292869194366</t>
  </si>
  <si>
    <t>SUKHMANJOT KAUR</t>
  </si>
  <si>
    <t>MALKIAT SINGH</t>
  </si>
  <si>
    <t>Parwinder kaur</t>
  </si>
  <si>
    <t>2023.ALC/A.83</t>
  </si>
  <si>
    <t>sukhmanjot0710@gmail.com</t>
  </si>
  <si>
    <t>VPO Thatta Nawan, kapurthala, Punjab , 144628</t>
  </si>
  <si>
    <t>Kapurthala</t>
  </si>
  <si>
    <t>144628</t>
  </si>
  <si>
    <t>905623584989</t>
  </si>
  <si>
    <t>MANMEET KAUR</t>
  </si>
  <si>
    <t>Gurpreet kaur</t>
  </si>
  <si>
    <t>2023.ALC/A.90</t>
  </si>
  <si>
    <t>nk4218296@gmail.com</t>
  </si>
  <si>
    <t>Fgc road nangli, Amritsar</t>
  </si>
  <si>
    <t>773080143815</t>
  </si>
  <si>
    <t>RAJ SINGH</t>
  </si>
  <si>
    <t>Gurmeet kaur</t>
  </si>
  <si>
    <t>2023.ALC/A.25</t>
  </si>
  <si>
    <t>mk6018927@gmail.com</t>
  </si>
  <si>
    <t>House no 1482, gurunanak colony ,khadoor Sahib ,Taran taran</t>
  </si>
  <si>
    <t>143117</t>
  </si>
  <si>
    <t>777854353574</t>
  </si>
  <si>
    <t>DRISHTI GOENKA</t>
  </si>
  <si>
    <t>SUNIL GOENKA</t>
  </si>
  <si>
    <t>Sonia Goenka</t>
  </si>
  <si>
    <t>2023.ALC/A.92</t>
  </si>
  <si>
    <t>drishtigoenka04@gmail.com</t>
  </si>
  <si>
    <t>15/16 Majitha road, Amritsar Punjab 143001</t>
  </si>
  <si>
    <t>494427425408</t>
  </si>
  <si>
    <t>MANPREET SINGH</t>
  </si>
  <si>
    <t>2023.ALC/A.29</t>
  </si>
  <si>
    <t>21-10-2005</t>
  </si>
  <si>
    <t>akaur49844@gmail.com</t>
  </si>
  <si>
    <t>V/o vachhoa district amritsar Vachhoa Fatehgarh churiyaan Punjab 143606</t>
  </si>
  <si>
    <t>Fatehgarh churiyaan</t>
  </si>
  <si>
    <t>HARPREET KAUR</t>
  </si>
  <si>
    <t>2023.ALC/A.30</t>
  </si>
  <si>
    <t>nishanbalia09@icloud.com</t>
  </si>
  <si>
    <t>114 Balia manjpur Amritsar Punjab 143149</t>
  </si>
  <si>
    <t>413476305090</t>
  </si>
  <si>
    <t>PARWINDER KAUR</t>
  </si>
  <si>
    <t>ARJAN SINGH</t>
  </si>
  <si>
    <t>balwinder kaur</t>
  </si>
  <si>
    <t>2023.ALC/A.31</t>
  </si>
  <si>
    <t>Priyaangural24@gmail.com</t>
  </si>
  <si>
    <t>dalelpur khera gurdaspur Punjab 143521</t>
  </si>
  <si>
    <t>gurdaspur</t>
  </si>
  <si>
    <t>486494747606</t>
  </si>
  <si>
    <t>BAGICHA SINGH</t>
  </si>
  <si>
    <t>2023.ALC/A.32</t>
  </si>
  <si>
    <t>kk4562979@gmail.com</t>
  </si>
  <si>
    <t>32 Chohla khurd Tarn Taran Punjab 143408</t>
  </si>
  <si>
    <t>VIKAS KALSI</t>
  </si>
  <si>
    <t>GOPI CHAND</t>
  </si>
  <si>
    <t>Geeta Rani</t>
  </si>
  <si>
    <t>2023.ALC/A.66</t>
  </si>
  <si>
    <t>vikaskalsij260@gmail.com</t>
  </si>
  <si>
    <t>fateh singh colony, AMRITSAR</t>
  </si>
  <si>
    <t>242341985127</t>
  </si>
  <si>
    <t>Amardeep kaur</t>
  </si>
  <si>
    <t>2023.ALC/A.34</t>
  </si>
  <si>
    <t>ksehj1212@gmail.com</t>
  </si>
  <si>
    <t>L4/195 KOT ATMA RAM, SULTANWIND ROAD, AMRITSAR</t>
  </si>
  <si>
    <t>7463 0396 8006</t>
  </si>
  <si>
    <t>RUPINDER KAUR</t>
  </si>
  <si>
    <t>2023.ALC/A.35</t>
  </si>
  <si>
    <t>RupinderChohan02@gmail.com</t>
  </si>
  <si>
    <t>Chohan Amritsar Punjab 143139</t>
  </si>
  <si>
    <t>606116399316</t>
  </si>
  <si>
    <t>CHARANJEET KAUR</t>
  </si>
  <si>
    <t>Karamjeet Kaur</t>
  </si>
  <si>
    <t>2023.ALC/A.36</t>
  </si>
  <si>
    <t>kaurchan786@gmail.com</t>
  </si>
  <si>
    <t>B8/18 Lohri Gate Kapurthala Towm Kapurthala Punjab 144601</t>
  </si>
  <si>
    <t>995684359137</t>
  </si>
  <si>
    <t>NAVJOT GILL</t>
  </si>
  <si>
    <t>DALBIR SINGH</t>
  </si>
  <si>
    <t>Anju</t>
  </si>
  <si>
    <t>2023.ALC/A.41</t>
  </si>
  <si>
    <t>foryou2navjot@gmail.com</t>
  </si>
  <si>
    <t>Hno.563 Yaseen Road Amritsar Punjab 143001</t>
  </si>
  <si>
    <t>472803331590</t>
  </si>
  <si>
    <t>HEMANT</t>
  </si>
  <si>
    <t>VISHAL</t>
  </si>
  <si>
    <t>ANU</t>
  </si>
  <si>
    <t>2023.ALC/A.108</t>
  </si>
  <si>
    <t>kandiaraharry60@gmail.com</t>
  </si>
  <si>
    <t>H NO. 120 BALMIKI MOHHALA NEHRU GATE BATALA GURDASPUR,BATALA,PUNJAB-143505</t>
  </si>
  <si>
    <t>BATALA</t>
  </si>
  <si>
    <t>734120500216</t>
  </si>
  <si>
    <t>ADAB PUNJ</t>
  </si>
  <si>
    <t>ANOOP KAMAL</t>
  </si>
  <si>
    <t>2023.ALC/A.70</t>
  </si>
  <si>
    <t>adabpunj@gmail.com</t>
  </si>
  <si>
    <t>H.No.916, Street No.23,Nawan Kot, Amritsar Amritsar Amritsar Punjab 143001</t>
  </si>
  <si>
    <t>958924086373</t>
  </si>
  <si>
    <t>2023.ALC/A.26</t>
  </si>
  <si>
    <t>shergillharmanpreet9@gmail.com</t>
  </si>
  <si>
    <t>Saran talwandi Tarn taran Punjab 143111</t>
  </si>
  <si>
    <t>999704404146</t>
  </si>
  <si>
    <t>GURPARWINDER SINGH</t>
  </si>
  <si>
    <t>2023.ALC/A.65</t>
  </si>
  <si>
    <t>gurparwinder209@gmail.com</t>
  </si>
  <si>
    <t>VPO Kairon, Teh Patti, Dist Tarn Taran</t>
  </si>
  <si>
    <t>143415</t>
  </si>
  <si>
    <t>389493056577</t>
  </si>
  <si>
    <t>NISHAN SINGH</t>
  </si>
  <si>
    <t>2023.ALC/A.28</t>
  </si>
  <si>
    <t>14-06-2005</t>
  </si>
  <si>
    <t>kkhehra431@gmail.com</t>
  </si>
  <si>
    <t>213 Nagoke Khadur Shab Punjab 143001</t>
  </si>
  <si>
    <t>Khadur Shab</t>
  </si>
  <si>
    <t>RAVI</t>
  </si>
  <si>
    <t>2023.ALC/A.94</t>
  </si>
  <si>
    <t>navneet.nk2004@gmail.com</t>
  </si>
  <si>
    <t>D11/25,Khandwala chownk, Amritsar Khandwala chownk Amritsar Punjab 143001</t>
  </si>
  <si>
    <t>764713112019</t>
  </si>
  <si>
    <t>GURPAL SINGH</t>
  </si>
  <si>
    <t>Seema</t>
  </si>
  <si>
    <t>2023.ALC/A.74</t>
  </si>
  <si>
    <t>gurpalsingh123@gmail.com</t>
  </si>
  <si>
    <t>Village muchhal, district Amritsar</t>
  </si>
  <si>
    <t>143111</t>
  </si>
  <si>
    <t>707487368375</t>
  </si>
  <si>
    <t>GAGANPREET KAUR</t>
  </si>
  <si>
    <t>RACHHPAL SINGH</t>
  </si>
  <si>
    <t>Ranjeet Kaur</t>
  </si>
  <si>
    <t>2023.ALC/A.47</t>
  </si>
  <si>
    <t>gaganpreet4499@gmail.com</t>
  </si>
  <si>
    <t>175 Chamba kalan Tarn Taran Punjab 143408</t>
  </si>
  <si>
    <t>Karamjit kaur</t>
  </si>
  <si>
    <t>2023.ALC/A.48</t>
  </si>
  <si>
    <t>arshdeepk2302@gmail.com</t>
  </si>
  <si>
    <t>234 Khawaspur Tarn Taran Punjab 143407</t>
  </si>
  <si>
    <t>KAMALPREET KAUR</t>
  </si>
  <si>
    <t>2023.ALC/A.49</t>
  </si>
  <si>
    <t>kamaluppalkamalpreetkaur@gmail.com</t>
  </si>
  <si>
    <t>Village - bajjumaan , tehsil - batala , district - gurdaspur</t>
  </si>
  <si>
    <t>910534047075</t>
  </si>
  <si>
    <t>Pramjit kaur</t>
  </si>
  <si>
    <t>2023.ALC/A.50</t>
  </si>
  <si>
    <t>rajbirkaurgill63@gmail.com</t>
  </si>
  <si>
    <t>Warsal chack Gurdaspur Punjab 143515</t>
  </si>
  <si>
    <t>811618870025</t>
  </si>
  <si>
    <t>SATNAM</t>
  </si>
  <si>
    <t>KALU RAM</t>
  </si>
  <si>
    <t>Mamta div</t>
  </si>
  <si>
    <t>2023.ALC/A.78</t>
  </si>
  <si>
    <t>shaalushallu6602@gmail.com</t>
  </si>
  <si>
    <t>Patalpuri Amritsar Punjab 143502</t>
  </si>
  <si>
    <t>MALE</t>
  </si>
  <si>
    <t>937197112771</t>
  </si>
  <si>
    <t>NAINA</t>
  </si>
  <si>
    <t>SONU KUMAR</t>
  </si>
  <si>
    <t>parbati</t>
  </si>
  <si>
    <t>2023.ALC/A.51</t>
  </si>
  <si>
    <t>nainakunwar525@gmail.com</t>
  </si>
  <si>
    <t>New Azad nagar ,near sultanwind road , Amritsar</t>
  </si>
  <si>
    <t>855136009534</t>
  </si>
  <si>
    <t>Lakhwinder kaur</t>
  </si>
  <si>
    <t>2023.ALC/A.52</t>
  </si>
  <si>
    <t>preetsuman1220@gmail.com</t>
  </si>
  <si>
    <t>Jalalabad Tarn taran Punjab 143118</t>
  </si>
  <si>
    <t>53715954839</t>
  </si>
  <si>
    <t>SHIKHA DEVI</t>
  </si>
  <si>
    <t>DINESH KUMAR</t>
  </si>
  <si>
    <t>Manju bala</t>
  </si>
  <si>
    <t>2023.ALC/A.85</t>
  </si>
  <si>
    <t>mehrashikha919@gmail.com</t>
  </si>
  <si>
    <t>Vill.ranipur teh.dhar kalan.distt.pathankot p/o shahpur kandi</t>
  </si>
  <si>
    <t>145029</t>
  </si>
  <si>
    <t>200542468134</t>
  </si>
  <si>
    <t>ANSHUMAN SHARMA</t>
  </si>
  <si>
    <t>Neelam Sharma</t>
  </si>
  <si>
    <t>2023.ALC/A.105</t>
  </si>
  <si>
    <t>anshumansharmaji9@gmail.com</t>
  </si>
  <si>
    <t>Garhi,Nai basti, udhampur, barola, jammu and kashmir</t>
  </si>
  <si>
    <t>Udhampur</t>
  </si>
  <si>
    <t>Jammu and Kashmir</t>
  </si>
  <si>
    <t>182121</t>
  </si>
  <si>
    <t>546849484960</t>
  </si>
  <si>
    <t>ALIYA BANOO</t>
  </si>
  <si>
    <t>MUSHTAQ AHMED</t>
  </si>
  <si>
    <t>Naseema Begum</t>
  </si>
  <si>
    <t>2023.ALC/A.97</t>
  </si>
  <si>
    <t>sheikhaliya0113@gmail.com</t>
  </si>
  <si>
    <t>Kishtwar Kishtwar Jammu &amp; Kashmir 182205</t>
  </si>
  <si>
    <t>Kishtwar</t>
  </si>
  <si>
    <t>A-</t>
  </si>
  <si>
    <t>Muslims</t>
  </si>
  <si>
    <t>692035461527</t>
  </si>
  <si>
    <t>RAHUL SHARMA</t>
  </si>
  <si>
    <t>Sharda devi</t>
  </si>
  <si>
    <t>2023.ALC/A.111</t>
  </si>
  <si>
    <t>rsharma43892@gmail.com</t>
  </si>
  <si>
    <t>Thapal, jandrari, ramnagar, udhampur, jammu and kashmir</t>
  </si>
  <si>
    <t>182122</t>
  </si>
  <si>
    <t>307425263899</t>
  </si>
  <si>
    <t>AYUSHI KHARKA</t>
  </si>
  <si>
    <t>SANJEEV KUMAR</t>
  </si>
  <si>
    <t>Radhika gupta</t>
  </si>
  <si>
    <t>2023.ALC/A.95</t>
  </si>
  <si>
    <t>ayushikharka35@gmail.com</t>
  </si>
  <si>
    <t>Ramnagar Jammu Jammu &amp; Kashmir 182122</t>
  </si>
  <si>
    <t>369961980131</t>
  </si>
  <si>
    <t>KOMAL MEHRA</t>
  </si>
  <si>
    <t>SURJEET KUMAR</t>
  </si>
  <si>
    <t>Shakti mehra</t>
  </si>
  <si>
    <t>2023.ALC/A.96</t>
  </si>
  <si>
    <t>komalmehra5760@gmail.com</t>
  </si>
  <si>
    <t>Near ram temple Nagrota , budhi barnoti Kathua Jammu &amp; Kashmir 184143</t>
  </si>
  <si>
    <t>927908109305</t>
  </si>
  <si>
    <t>ROHIT KUMAR</t>
  </si>
  <si>
    <t>TILAK RAJ</t>
  </si>
  <si>
    <t>Neelam kumari</t>
  </si>
  <si>
    <t>2023.ALC/A.110</t>
  </si>
  <si>
    <t>rk8082815332@gmail.com</t>
  </si>
  <si>
    <t>Flat No. 701 Jammu Jammu Jammu &amp; Kashmir 182311</t>
  </si>
  <si>
    <t>597593399054</t>
  </si>
  <si>
    <t>PARSHANT CHOUDHARY</t>
  </si>
  <si>
    <t>MANGVIR KUMAR</t>
  </si>
  <si>
    <t>Neetu choudhary</t>
  </si>
  <si>
    <t>2023.ALC/A.109</t>
  </si>
  <si>
    <t>parshant7051@gmail.com</t>
  </si>
  <si>
    <t>159 Nowshera Nowshera Jammu &amp; Kashmir 185155</t>
  </si>
  <si>
    <t>Nowshera</t>
  </si>
  <si>
    <t>706289848498</t>
  </si>
  <si>
    <t>KASHISH SHARMA</t>
  </si>
  <si>
    <t>PAWAN KUMAR</t>
  </si>
  <si>
    <t>Premlata sharma</t>
  </si>
  <si>
    <t>2023.ALC/A.91</t>
  </si>
  <si>
    <t>kashishraina00@gmail.com</t>
  </si>
  <si>
    <t>Lamberi, rajouri, Jammu and Kashmir</t>
  </si>
  <si>
    <t>185152</t>
  </si>
  <si>
    <t>723822043104</t>
  </si>
  <si>
    <t>RAJNI DEVI</t>
  </si>
  <si>
    <t>KAKU RAM</t>
  </si>
  <si>
    <t>Jyoti devi</t>
  </si>
  <si>
    <t>2023.ALC/A.93</t>
  </si>
  <si>
    <t>rajniudh10@gmail.com</t>
  </si>
  <si>
    <t>Udhampur Jammu and Kashmir Jammu &amp; Kashmir 182101</t>
  </si>
  <si>
    <t>252868386518</t>
  </si>
  <si>
    <t>SHUBHAM SHARMA</t>
  </si>
  <si>
    <t>BISHWA NATH</t>
  </si>
  <si>
    <t>Kamlesh Sharma</t>
  </si>
  <si>
    <t>2023.ALC/A.107</t>
  </si>
  <si>
    <t>shubhammsharma0110@gmail.com</t>
  </si>
  <si>
    <t>Udhampur Dhalpar Udhampur Jammu &amp; Kashmir 182124</t>
  </si>
  <si>
    <t>278661762779</t>
  </si>
  <si>
    <t>KANCHAN DEVI</t>
  </si>
  <si>
    <t>SWARN SINGH</t>
  </si>
  <si>
    <t>KAMLESH DEVI</t>
  </si>
  <si>
    <t>2023.ALC/A.84</t>
  </si>
  <si>
    <t>kachanthaku0208@gmail.com</t>
  </si>
  <si>
    <t>ward no. 02, near anganwari school plail</t>
  </si>
  <si>
    <t>184143</t>
  </si>
  <si>
    <t>987992420455</t>
  </si>
  <si>
    <t>RITHIKA SINGH</t>
  </si>
  <si>
    <t>Suman devi</t>
  </si>
  <si>
    <t>2023.ALC/A.89</t>
  </si>
  <si>
    <t>rithikasingh7880@gmail.com</t>
  </si>
  <si>
    <t>Chapper, badhole, udhampur, jammu and kashmir</t>
  </si>
  <si>
    <t>304753194063</t>
  </si>
  <si>
    <t>SWYAM SHARMA</t>
  </si>
  <si>
    <t>JAGDISH LAL</t>
  </si>
  <si>
    <t>Bindu sharma</t>
  </si>
  <si>
    <t>2023.ALC/A.103</t>
  </si>
  <si>
    <t>sharmaswyam450@gmail.com</t>
  </si>
  <si>
    <t>NH 44, Jammu and Kashmir, India</t>
  </si>
  <si>
    <t>Udhampur 182101</t>
  </si>
  <si>
    <t>General</t>
  </si>
  <si>
    <t>6032 9627 2047</t>
  </si>
  <si>
    <t>RUDRIKA MALAGAR</t>
  </si>
  <si>
    <t>VISHAL MALAGAR</t>
  </si>
  <si>
    <t>Ashu malagar</t>
  </si>
  <si>
    <t>2023.ALC/A.80</t>
  </si>
  <si>
    <t>30-08-2005</t>
  </si>
  <si>
    <t>malagarrudrika@gmail.com</t>
  </si>
  <si>
    <t>House no 1 patel nagar kathua Kathua Jammu and kashmir Jammu &amp; Kashmir 184101</t>
  </si>
  <si>
    <t>Jammu and kashmir</t>
  </si>
  <si>
    <t>AJAY SINGH</t>
  </si>
  <si>
    <t>ANGRAZE SINGH</t>
  </si>
  <si>
    <t>Sunita Devi</t>
  </si>
  <si>
    <t>2023.ALC/A.100</t>
  </si>
  <si>
    <t>ajaysurya@gmail.com</t>
  </si>
  <si>
    <t>Reasi Jammu Jammu &amp; Kashmir 182311</t>
  </si>
  <si>
    <t>523771066759</t>
  </si>
  <si>
    <t>KARANPAL SINGH</t>
  </si>
  <si>
    <t>RAMINDER SINGH</t>
  </si>
  <si>
    <t>Parmeshwar Kaur</t>
  </si>
  <si>
    <t>2022.ALC/A.85</t>
  </si>
  <si>
    <t>karanmaan2626@gmail.com</t>
  </si>
  <si>
    <t>26 Tarn Taran Road, Gurdev Nagar, Amritsar, 143001</t>
  </si>
  <si>
    <t>842159231365</t>
  </si>
  <si>
    <t>2022-2027</t>
  </si>
  <si>
    <t>2018.GTA/A.138</t>
  </si>
  <si>
    <t>sonirajwinderkaur@gmail.com</t>
  </si>
  <si>
    <t>Vilge Jabbowal,  tehsil Baba BakalaDistrict Amritsar</t>
  </si>
  <si>
    <t>143116</t>
  </si>
  <si>
    <t>MS. NITASHA</t>
  </si>
  <si>
    <t>628403659029</t>
  </si>
  <si>
    <t>SIMRANJEET KAUR</t>
  </si>
  <si>
    <t>2019.BB /A.7</t>
  </si>
  <si>
    <t>No</t>
  </si>
  <si>
    <t>S84218943@gmail.com</t>
  </si>
  <si>
    <t>154 Ekal gadda Tarn Taran Punjab 143115</t>
  </si>
  <si>
    <t>SARBRINDERJIT KAUR</t>
  </si>
  <si>
    <t>AMRIK KAUR</t>
  </si>
  <si>
    <t>2019.SW /A.647</t>
  </si>
  <si>
    <t>kaursarbinderjit@gmail.com</t>
  </si>
  <si>
    <t>Village jagatpura,thathgarh ,taran taran</t>
  </si>
  <si>
    <t>143009</t>
  </si>
  <si>
    <t>356137442244</t>
  </si>
  <si>
    <t>POOJADEEP KAUR</t>
  </si>
  <si>
    <t>Ranjeet kaur</t>
  </si>
  <si>
    <t>2022.ALC/A.9</t>
  </si>
  <si>
    <t>sarhali123</t>
  </si>
  <si>
    <t>pdeep@gmail.com</t>
  </si>
  <si>
    <t>V.P.O chhapri sahib, Tarn Taran Amritsar Punjab 143407</t>
  </si>
  <si>
    <t>KAWALJIT SINGH</t>
  </si>
  <si>
    <t>Sharanjit kaur</t>
  </si>
  <si>
    <t>2022.ALC/A.10</t>
  </si>
  <si>
    <t>15-02-2004</t>
  </si>
  <si>
    <t>safrisemma@gmail.com</t>
  </si>
  <si>
    <t>Kha chhapri Amritsar Punjab 143407</t>
  </si>
  <si>
    <t>HARDEV SINGH</t>
  </si>
  <si>
    <t>2022.ALC/A.34</t>
  </si>
  <si>
    <t>Karansadiora28@gmail.com</t>
  </si>
  <si>
    <t>Hno 214 Bahoru Amritsar Punjab 143009</t>
  </si>
  <si>
    <t>SIMRAT KAUR</t>
  </si>
  <si>
    <t>GURMAIJ SINGH</t>
  </si>
  <si>
    <t>2021.NZ / .1211</t>
  </si>
  <si>
    <t>ksimrat424@gmail.com</t>
  </si>
  <si>
    <t>Village Mahna, Chinna Bidhi Chand, PO Chhina, Bidhi</t>
  </si>
  <si>
    <t>143305</t>
  </si>
  <si>
    <t>O negative</t>
  </si>
  <si>
    <t>2022.ALC/A.35</t>
  </si>
  <si>
    <t>kara@123</t>
  </si>
  <si>
    <t>singhkaran82268@gmail.com</t>
  </si>
  <si>
    <t>5270 Jandiala guru Amritsar Punjab 143115</t>
  </si>
  <si>
    <t>SHWETA</t>
  </si>
  <si>
    <t>SUNNY</t>
  </si>
  <si>
    <t>Muskan</t>
  </si>
  <si>
    <t>2022.ALC/A.11</t>
  </si>
  <si>
    <t>17-04-2005</t>
  </si>
  <si>
    <t>shwetashitu415@gmail.com</t>
  </si>
  <si>
    <t>108 Amritsar Amritsar Punjab 143001</t>
  </si>
  <si>
    <t>HIMANSHU SHARMA</t>
  </si>
  <si>
    <t>SANDEEP SHARMA</t>
  </si>
  <si>
    <t>Neeraj Sharma</t>
  </si>
  <si>
    <t>2022.ALC/A.76</t>
  </si>
  <si>
    <t>Hiaakash201107</t>
  </si>
  <si>
    <t>Hsharma.hs31@gmail.com</t>
  </si>
  <si>
    <t>69/2, Gali No. 5 Sunder Nagar Amritsar Punjab 143001</t>
  </si>
  <si>
    <t>KRISHNA</t>
  </si>
  <si>
    <t>ANIL SHUKLA</t>
  </si>
  <si>
    <t>Meena shukla</t>
  </si>
  <si>
    <t>2022.ALC/A.36</t>
  </si>
  <si>
    <t>Krishna 2261034</t>
  </si>
  <si>
    <t>19-09-2004</t>
  </si>
  <si>
    <t>Ks3563856@gmail.com</t>
  </si>
  <si>
    <t>509/13 Amritsar Amritsar Punjab 143001</t>
  </si>
  <si>
    <t>JASBEER SINGH</t>
  </si>
  <si>
    <t>2022.ALC/A.12</t>
  </si>
  <si>
    <t>Yuvraj@2003</t>
  </si>
  <si>
    <t>28-09-2003</t>
  </si>
  <si>
    <t>Yuvrajbhatti77@gmail.com</t>
  </si>
  <si>
    <t>25 Satnam nagar Amritsar Punjab 143001</t>
  </si>
  <si>
    <t>ANSHU</t>
  </si>
  <si>
    <t>RINKU</t>
  </si>
  <si>
    <t>2022.ALC/A.13</t>
  </si>
  <si>
    <t>GAGANDEEP PAL</t>
  </si>
  <si>
    <t>SURINDER PAL</t>
  </si>
  <si>
    <t>Mamta</t>
  </si>
  <si>
    <t>2022.ALC/A.77</t>
  </si>
  <si>
    <t>G@gand33p</t>
  </si>
  <si>
    <t>gagandeep62404@gmail.com</t>
  </si>
  <si>
    <t>.. V.p.o valtoha tarn taran Punjab 143416</t>
  </si>
  <si>
    <t>tarn taran</t>
  </si>
  <si>
    <t>RAJESH KUMAR</t>
  </si>
  <si>
    <t>Sangeeta</t>
  </si>
  <si>
    <t>2022.ALC/A.58</t>
  </si>
  <si>
    <t>30-01-2004</t>
  </si>
  <si>
    <t>aditigill588@gmail.com</t>
  </si>
  <si>
    <t>138, Max city, Jujhar Singh avenue, street no.10,Airport Road , Asr. Amritsar Amritsar Punjab 143001</t>
  </si>
  <si>
    <t>PARDEEP KUMAR</t>
  </si>
  <si>
    <t>2022.ALC/A.14</t>
  </si>
  <si>
    <t>26-09-2004</t>
  </si>
  <si>
    <t>Snehagill651@gmail.com</t>
  </si>
  <si>
    <t>51 Amritsar Amritsar Punjab 143001</t>
  </si>
  <si>
    <t>PRIYANKA</t>
  </si>
  <si>
    <t>Kiran</t>
  </si>
  <si>
    <t>2022.ALC/A.15</t>
  </si>
  <si>
    <t>23-03-2004</t>
  </si>
  <si>
    <t>priyanka.k1623@gmail.com</t>
  </si>
  <si>
    <t>HNO.317,Ward no.03, Street no.6 Dashmesh nagar Moga, Punjab Moga Moga Punjab 142001</t>
  </si>
  <si>
    <t>Moga</t>
  </si>
  <si>
    <t>GULJAR SINGH</t>
  </si>
  <si>
    <t>2022.ALC/A.16</t>
  </si>
  <si>
    <t>JATINDER SINGH</t>
  </si>
  <si>
    <t>2022.ALC/A.17</t>
  </si>
  <si>
    <t>19-08-2002</t>
  </si>
  <si>
    <t>arshdeep22402@gmail.com</t>
  </si>
  <si>
    <t>125 Chachowali Amritsar Punjab 143502</t>
  </si>
  <si>
    <t>RAMANPREET KAUR</t>
  </si>
  <si>
    <t>2022.ALC/A.18</t>
  </si>
  <si>
    <t>preetraman1009@gmail.com</t>
  </si>
  <si>
    <t>134 Kotli saru khan No Punjab 143112</t>
  </si>
  <si>
    <t>ARVIND KUMAR MADAAN</t>
  </si>
  <si>
    <t>SATISH KUMAR</t>
  </si>
  <si>
    <t>2022.ALC/A.81</t>
  </si>
  <si>
    <t>Arvindkumarmadaan1234@gmail.com</t>
  </si>
  <si>
    <t>4576/7 Green Avenue, outside patel nagar, Lucky sweet shop , Jandiala Guru</t>
  </si>
  <si>
    <t>AB+ive</t>
  </si>
  <si>
    <t>657053975051</t>
  </si>
  <si>
    <t>GURJANT SINGH</t>
  </si>
  <si>
    <t>TARSEM SINGH</t>
  </si>
  <si>
    <t>2022.ALC/A.82</t>
  </si>
  <si>
    <t>gorabajwa141@gmail.com</t>
  </si>
  <si>
    <t>33 Rai siana Tarn Taran Punjab 143401</t>
  </si>
  <si>
    <t>KRISHMA ARORA</t>
  </si>
  <si>
    <t>BHARTI ARORA</t>
  </si>
  <si>
    <t>Prabha Arora</t>
  </si>
  <si>
    <t>2022.ALC/A.19</t>
  </si>
  <si>
    <t>krishmaarora111@gmail.com</t>
  </si>
  <si>
    <t>Hno 1311/12 gali jandi wali, nimak mandi Amritsar Amritsar Punjab 143001</t>
  </si>
  <si>
    <t>JOSEPHIN GILL</t>
  </si>
  <si>
    <t>Anita</t>
  </si>
  <si>
    <t>2022.ALC/A.54</t>
  </si>
  <si>
    <t>josephingill9132@gmal.com</t>
  </si>
  <si>
    <t>VPO trehti,Shapur kandi ,tehsil dhar kalan , Gurdaspur</t>
  </si>
  <si>
    <t>913190413033</t>
  </si>
  <si>
    <t>RURH SINGH</t>
  </si>
  <si>
    <t>Paramjeet kaur</t>
  </si>
  <si>
    <t>2022.ALC/A.79</t>
  </si>
  <si>
    <t>Ajnala@12</t>
  </si>
  <si>
    <t>15-04-2004</t>
  </si>
  <si>
    <t>Karansinghsingh8945@gmail.com</t>
  </si>
  <si>
    <t>264 Sarai, Ajnala Amritsar Punjab 143102</t>
  </si>
  <si>
    <t>ROSHNI DHANUKA</t>
  </si>
  <si>
    <t>SANJAY DHANUKA</t>
  </si>
  <si>
    <t>Shobha</t>
  </si>
  <si>
    <t>2022.ALC/A.55</t>
  </si>
  <si>
    <t>dhanukaroshni53@gmail.com</t>
  </si>
  <si>
    <t>663 AMRITSAR Amritsar Punjab 143001</t>
  </si>
  <si>
    <t>KABIR SAREEN</t>
  </si>
  <si>
    <t>ANKUR SAREEN</t>
  </si>
  <si>
    <t>Sonia Sareen</t>
  </si>
  <si>
    <t>2022.ALC/A.80</t>
  </si>
  <si>
    <t>Kabir0022</t>
  </si>
  <si>
    <t>27-09-2003</t>
  </si>
  <si>
    <t>sareen.kabir123@gmail.com</t>
  </si>
  <si>
    <t>33 Amritsar Amritsar Punjab 143001</t>
  </si>
  <si>
    <t>Sarabjit kaur</t>
  </si>
  <si>
    <t>2022.ALC/A.56</t>
  </si>
  <si>
    <t>rajkaurnahar86@gmail.com</t>
  </si>
  <si>
    <t>House no 10,near gurudwara sahib ,Chhichrewal ,Taran taran</t>
  </si>
  <si>
    <t>143302</t>
  </si>
  <si>
    <t>249964798828</t>
  </si>
  <si>
    <t>AMANJOT KAUR</t>
  </si>
  <si>
    <t>2022.ALC/A.66</t>
  </si>
  <si>
    <t>amankau254@gmail.com</t>
  </si>
  <si>
    <t>88 VPO Nawan kot Amritsar Punjab 143115</t>
  </si>
  <si>
    <t>HARBHAJAN SINGH</t>
  </si>
  <si>
    <t>2022.ALC/A.67</t>
  </si>
  <si>
    <t>harbhajansingh01011974@gmail.com</t>
  </si>
  <si>
    <t>Vpo kotli dhole shah Amritsar Punjab 143504</t>
  </si>
  <si>
    <t>MANDEEP SINGH</t>
  </si>
  <si>
    <t>GURDEEP SINGH</t>
  </si>
  <si>
    <t>Sarbjeet kaur</t>
  </si>
  <si>
    <t>2022.ALC/A.86</t>
  </si>
  <si>
    <t>31-12-2004</t>
  </si>
  <si>
    <t>mandeepsingh311204@gmail.com</t>
  </si>
  <si>
    <t>Phase-2, Guru Tegh Bahadur Nagar, near SR Resort , Tarn Taran Tarn Taran Tarn Taran Punjab 143401</t>
  </si>
  <si>
    <t>DIKSHA</t>
  </si>
  <si>
    <t>AMRITPAL</t>
  </si>
  <si>
    <t>2022.ALC/A.68</t>
  </si>
  <si>
    <t>dikshabhardwaj911@gmail.com</t>
  </si>
  <si>
    <t>Chheharta Amritsar Punjab 143105</t>
  </si>
  <si>
    <t>882933954813</t>
  </si>
  <si>
    <t>2022.ALC/A.22</t>
  </si>
  <si>
    <t>NAVKIRAN KAUR</t>
  </si>
  <si>
    <t>Daljit kaur</t>
  </si>
  <si>
    <t>2022.ALC/A.23</t>
  </si>
  <si>
    <t>21-02-2005</t>
  </si>
  <si>
    <t>nk5769262@gmail.com</t>
  </si>
  <si>
    <t>Jandiala guru Amritsar Punjab 143115</t>
  </si>
  <si>
    <t>Sarbjeet Kaur</t>
  </si>
  <si>
    <t>2022.ALC/A.24</t>
  </si>
  <si>
    <t>Sangramvidyanta@gmail.com</t>
  </si>
  <si>
    <t>365 Ekal gadda Jandiala guru Punjab 143115</t>
  </si>
  <si>
    <t>VARINDER SINGH</t>
  </si>
  <si>
    <t>Surinder kaur</t>
  </si>
  <si>
    <t>2022.ALC/A.25</t>
  </si>
  <si>
    <t>gilljasmine516@gmail.com</t>
  </si>
  <si>
    <t>Bhinder Amritsar Punjab 143112</t>
  </si>
  <si>
    <t>MUSKAN</t>
  </si>
  <si>
    <t>RAKESH PANDEY</t>
  </si>
  <si>
    <t>Sarita paney</t>
  </si>
  <si>
    <t>2022.ALC/A.26</t>
  </si>
  <si>
    <t>muskanpandey1930@gmail.com</t>
  </si>
  <si>
    <t>Hanuman mandir,jorha fatak ,golden Avenue, Amritsar</t>
  </si>
  <si>
    <t>AB -</t>
  </si>
  <si>
    <t>326755976037</t>
  </si>
  <si>
    <t>KARANBIR SINGH</t>
  </si>
  <si>
    <t>SUKHDEEP SINGH</t>
  </si>
  <si>
    <t>2022.ALC/A.44</t>
  </si>
  <si>
    <t>29-12-2003</t>
  </si>
  <si>
    <t>Karanbirsingh3605@gmail.com</t>
  </si>
  <si>
    <t>1025 Rayya Rayya Punjab 143112</t>
  </si>
  <si>
    <t>Rayya</t>
  </si>
  <si>
    <t>KHUSHNOOR KAUR</t>
  </si>
  <si>
    <t>HARINDER SINGH</t>
  </si>
  <si>
    <t>NITIN ARORA</t>
  </si>
  <si>
    <t>2022.ALC/A.71</t>
  </si>
  <si>
    <t>KAURKHUSHNOOR20@GMAIL.COM</t>
  </si>
  <si>
    <t>53 NEW KIDWAI NAGAR LUDHIANA,LUDHIANA,PUNJAB-141010</t>
  </si>
  <si>
    <t>LUDHIANA</t>
  </si>
  <si>
    <t>141010</t>
  </si>
  <si>
    <t>846204614348</t>
  </si>
  <si>
    <t>DEV KASHYAP</t>
  </si>
  <si>
    <t>DEEPAK KASHYAP</t>
  </si>
  <si>
    <t>Naina kashyap</t>
  </si>
  <si>
    <t>2022.ALC/A.46</t>
  </si>
  <si>
    <t>Devk27105@gmail.com</t>
  </si>
  <si>
    <t>10 Jalandhar cantt Jalandhar Punjab 144024</t>
  </si>
  <si>
    <t>Kawaljeet kaur</t>
  </si>
  <si>
    <t>2022.ALC/A.28</t>
  </si>
  <si>
    <t>kamandeepkaur505@gmail.com</t>
  </si>
  <si>
    <t>752 Amritsar Amritsar Punjab 143001</t>
  </si>
  <si>
    <t>BACHAN SINGH</t>
  </si>
  <si>
    <t>Harbhajan Kaur</t>
  </si>
  <si>
    <t>2022.ALC/A.47</t>
  </si>
  <si>
    <t>raviwadala005@gmail.com</t>
  </si>
  <si>
    <t>356 Wadala kalan Rayya Punjab 143202</t>
  </si>
  <si>
    <t>SAYAM SHARMA</t>
  </si>
  <si>
    <t>KAMALJEET SHARMA</t>
  </si>
  <si>
    <t>Rajni Sharma</t>
  </si>
  <si>
    <t>2022.ALC/A.48</t>
  </si>
  <si>
    <t>sayamsharma238@gmail.com</t>
  </si>
  <si>
    <t>House no 100,Fateh Singh colony,Gali no 30 ,Gate Hakima</t>
  </si>
  <si>
    <t>875852289792</t>
  </si>
  <si>
    <t>AKOMPREET KAUR</t>
  </si>
  <si>
    <t>AMRIK SINGH</t>
  </si>
  <si>
    <t>Jagjit Kaur</t>
  </si>
  <si>
    <t>2022.ALC/A.72</t>
  </si>
  <si>
    <t>26-02-2004</t>
  </si>
  <si>
    <t>Kaurakompreet@gmail.com</t>
  </si>
  <si>
    <t>House no. 62 Ferozepur Cantt Ferozepur Punjab 152001</t>
  </si>
  <si>
    <t>VARINDERJIT KAUR</t>
  </si>
  <si>
    <t>2022.ALC/A.31</t>
  </si>
  <si>
    <t>25-04-2004</t>
  </si>
  <si>
    <t>varinderkaurgrewal49@gmail.com</t>
  </si>
  <si>
    <t>Nagoke Amritsar Punjab 143117</t>
  </si>
  <si>
    <t>SAMEER</t>
  </si>
  <si>
    <t>2022.ALC/A.73</t>
  </si>
  <si>
    <t>16-09-2003</t>
  </si>
  <si>
    <t>khushpreet12053@gmail.com</t>
  </si>
  <si>
    <t>Majitha Road Amritsar Punjab 143001</t>
  </si>
  <si>
    <t>Gurinder Kaur</t>
  </si>
  <si>
    <t>2022.ALC/A.52</t>
  </si>
  <si>
    <t>14-04-2003</t>
  </si>
  <si>
    <t>aanmolsingh199@gmail.com</t>
  </si>
  <si>
    <t>284 Diamond City Baba Budha g avenue Gt road Amritsar Amritsar Punjab 143001</t>
  </si>
  <si>
    <t>MUNEEBA TABASSUM</t>
  </si>
  <si>
    <t>MOHD ASHRAF BATT</t>
  </si>
  <si>
    <t>Imtyaza begum</t>
  </si>
  <si>
    <t>2022.ALC/A.61</t>
  </si>
  <si>
    <t>muneebatabssum177@gmail.com</t>
  </si>
  <si>
    <t>Doda ,Bhaderwah</t>
  </si>
  <si>
    <t>Doda</t>
  </si>
  <si>
    <t>182221</t>
  </si>
  <si>
    <t>702947410058</t>
  </si>
  <si>
    <t>SWEETY KUMARI</t>
  </si>
  <si>
    <t>RAMANAND VISHWAKARMA</t>
  </si>
  <si>
    <t>2022.ALC/A.74</t>
  </si>
  <si>
    <t>AMAN DEV SINGH</t>
  </si>
  <si>
    <t>ROMAL SINGH</t>
  </si>
  <si>
    <t>Raj Kumari</t>
  </si>
  <si>
    <t>2022.ALC/A.90</t>
  </si>
  <si>
    <t>19-02-2005</t>
  </si>
  <si>
    <t>thakuramansinghyt@gmail.com</t>
  </si>
  <si>
    <t>Geeta nagar reasi Reasi Reasi Jammu &amp; Kashmir 182311</t>
  </si>
  <si>
    <t>Reasi</t>
  </si>
  <si>
    <t>ANGAT SINGH</t>
  </si>
  <si>
    <t>Neha devi</t>
  </si>
  <si>
    <t>2022.ALC/A.89</t>
  </si>
  <si>
    <t>30-03-2003</t>
  </si>
  <si>
    <t>angatsingh168@gmail.com</t>
  </si>
  <si>
    <t>15 Sangrampur Jammu Jammu &amp; Kashmir 181201</t>
  </si>
  <si>
    <t>AKHIL LAKHOTRA</t>
  </si>
  <si>
    <t>SANTOKH SINGH</t>
  </si>
  <si>
    <t>Anju Rajput</t>
  </si>
  <si>
    <t>2022.ALC/A.87</t>
  </si>
  <si>
    <t>akhillakhotra420@gmail.com</t>
  </si>
  <si>
    <t>FIRDOUSE AHMAD LONE</t>
  </si>
  <si>
    <t>FAROOQ AHMAD LONE</t>
  </si>
  <si>
    <t>Khatoon Akhter</t>
  </si>
  <si>
    <t>2022.ALC/A.84</t>
  </si>
  <si>
    <t>18-04-2003</t>
  </si>
  <si>
    <t>firdouselone184@gmail.com</t>
  </si>
  <si>
    <t>Nambla Uri Baramulla Jammu &amp; Kashmir 193123</t>
  </si>
  <si>
    <t>Baramulla</t>
  </si>
  <si>
    <t>NAVDEEP KOUR</t>
  </si>
  <si>
    <t>Tajinder kour</t>
  </si>
  <si>
    <t>2022.ALC/A.62</t>
  </si>
  <si>
    <t>navdeepkour207@gmail.com</t>
  </si>
  <si>
    <t>Lower omara, near kali mata mandir omara, udhampur</t>
  </si>
  <si>
    <t>182101</t>
  </si>
  <si>
    <t>761740024856</t>
  </si>
  <si>
    <t>DIYA SHARMA</t>
  </si>
  <si>
    <t>SURINDER SHARMA</t>
  </si>
  <si>
    <t>Anuradha sharma</t>
  </si>
  <si>
    <t>2022.ALC/A.63</t>
  </si>
  <si>
    <t>diyasharma1709@gmail.com</t>
  </si>
  <si>
    <t>Ward no 6 jia pota akhnoor tehsil akhoor district jammu</t>
  </si>
  <si>
    <t>Jammu&amp; Kashmir</t>
  </si>
  <si>
    <t>181201</t>
  </si>
  <si>
    <t>739914815280</t>
  </si>
  <si>
    <t>MEENAKSHI NAG</t>
  </si>
  <si>
    <t>UTTAM SINGH</t>
  </si>
  <si>
    <t>Maya devi</t>
  </si>
  <si>
    <t>2022.ALC/A.64</t>
  </si>
  <si>
    <t>meenakshinag97@gmail.com</t>
  </si>
  <si>
    <t>67 67 Reasi Jammu &amp; Kashmir 182311</t>
  </si>
  <si>
    <t>NEHA KUMARI</t>
  </si>
  <si>
    <t>SUKHBIR KUMAR</t>
  </si>
  <si>
    <t>Pooja devi</t>
  </si>
  <si>
    <t>2022.ALC/A.65</t>
  </si>
  <si>
    <t>96825 91706</t>
  </si>
  <si>
    <t>20-12-2003</t>
  </si>
  <si>
    <t>dogranehadogra6@gmail.com</t>
  </si>
  <si>
    <t>57 Reasi Jammu Jammu &amp; Kashmir 182311</t>
  </si>
  <si>
    <t>GEETANJALI SHARMA</t>
  </si>
  <si>
    <t>KULDEEP RAJ</t>
  </si>
  <si>
    <t>Vijay laxmi</t>
  </si>
  <si>
    <t>2022.ALC/A.57</t>
  </si>
  <si>
    <t>gs7004273@gmail.com</t>
  </si>
  <si>
    <t>House no 11 Nai basti naryana Jammu Jammu &amp; Kashmir 181203</t>
  </si>
  <si>
    <t>305226835700</t>
  </si>
  <si>
    <t>LOTIKA SHARMA</t>
  </si>
  <si>
    <t>DEV RAJ SHARMA</t>
  </si>
  <si>
    <t>Meenakshi devi</t>
  </si>
  <si>
    <t>2022.ALC/A.60</t>
  </si>
  <si>
    <t>lotikasharma224@gmail.com</t>
  </si>
  <si>
    <t>Kathua kharote ward no5 kawatia mohalla near CFC</t>
  </si>
  <si>
    <t>184102</t>
  </si>
  <si>
    <t>232766893078</t>
  </si>
  <si>
    <t>SHAM MASIH</t>
  </si>
  <si>
    <t>NAVED KUMAR</t>
  </si>
  <si>
    <t>Asha devi</t>
  </si>
  <si>
    <t>2022.ALC/A.83</t>
  </si>
  <si>
    <t>shammasih1234@gmail.com</t>
  </si>
  <si>
    <t>14 Kathua Ramkot Jammu &amp; Kashmir 184205</t>
  </si>
  <si>
    <t>Ramkot</t>
  </si>
  <si>
    <t>DEVIKA SHARMA</t>
  </si>
  <si>
    <t>MANGAL PARSAD</t>
  </si>
  <si>
    <t>Indu bala</t>
  </si>
  <si>
    <t>2022.ALC/A.53</t>
  </si>
  <si>
    <t>devikasharma90150@gmail.com</t>
  </si>
  <si>
    <t>Jwalamukhi Jwalamukhi Kangra Punjab 143001</t>
  </si>
  <si>
    <t>Kangra</t>
  </si>
  <si>
    <t>2021-2026</t>
  </si>
  <si>
    <t>ABHIKIRAT SINGH</t>
  </si>
  <si>
    <t>CHANDAN SINGH</t>
  </si>
  <si>
    <t>2021.PLT/A.27</t>
  </si>
  <si>
    <t>ALL CLEAR , Economics-I , Legal English-I , Punjabi Lazmi - I</t>
  </si>
  <si>
    <t>ADITYA MAHAJAN</t>
  </si>
  <si>
    <t>ARVINDER MAHAJAN</t>
  </si>
  <si>
    <t>Neetu Mahajan</t>
  </si>
  <si>
    <t>2021.ALC/A.32</t>
  </si>
  <si>
    <t>adityamahajan51.am@gmail.com</t>
  </si>
  <si>
    <t>51 Mall road Amritsar Punjab 143001</t>
  </si>
  <si>
    <t>DR. AMANPREET KAUR</t>
  </si>
  <si>
    <t>AMARJEET KAUR</t>
  </si>
  <si>
    <t>AVTAR SINGH</t>
  </si>
  <si>
    <t>2021.ALC/A.17</t>
  </si>
  <si>
    <t>amrsidhu09@gmail.com</t>
  </si>
  <si>
    <t>House No. 04 Village Sailbrah Bathinda Punjab 151104</t>
  </si>
  <si>
    <t>AMRITDEEP KAUR</t>
  </si>
  <si>
    <t>2021.ALC/A.28</t>
  </si>
  <si>
    <t>ALC@123</t>
  </si>
  <si>
    <t>16-04-2003</t>
  </si>
  <si>
    <t>amrittur6@gmail.com</t>
  </si>
  <si>
    <t>Bath Road Tarn Taran Tarn Taran Punjab 143401</t>
  </si>
  <si>
    <t>ANCHALDEEP KAUR</t>
  </si>
  <si>
    <t>Jugraj kaur</t>
  </si>
  <si>
    <t>2021.ALC/A.9</t>
  </si>
  <si>
    <t>alc@123</t>
  </si>
  <si>
    <t>27-07-2002</t>
  </si>
  <si>
    <t>avtarsingh12351557@gmail.com</t>
  </si>
  <si>
    <t>Village Amritsar Punjab 143001</t>
  </si>
  <si>
    <t>ASHUTOSH SINGH</t>
  </si>
  <si>
    <t>Rita Devi</t>
  </si>
  <si>
    <t>2021.ALC/A.33</t>
  </si>
  <si>
    <t>5ZXCUuQZeLp@Eg8</t>
  </si>
  <si>
    <t>ashutoshsingh0601970@gmail.com</t>
  </si>
  <si>
    <t>Nil Village pargwal p/o pargwal teh. Pargwal pin code 181207 district jammu state jammu and kashmir Pargwal Jammu &amp; Kashmir 181207</t>
  </si>
  <si>
    <t>Pargwal</t>
  </si>
  <si>
    <t>085742362780</t>
  </si>
  <si>
    <t>BIKRAM SINGH</t>
  </si>
  <si>
    <t>BALJIT KAUR</t>
  </si>
  <si>
    <t>2021.PLT/A.18</t>
  </si>
  <si>
    <t>gillvicky556@gmail.com</t>
  </si>
  <si>
    <t>Naurangabad, Punjab 143402, India</t>
  </si>
  <si>
    <t>Tarn Taran Sahib, Punjab, India</t>
  </si>
  <si>
    <t>Walipur, Punjab 143401, India</t>
  </si>
  <si>
    <t>644386889769</t>
  </si>
  <si>
    <t>GOURAV</t>
  </si>
  <si>
    <t>Nisha</t>
  </si>
  <si>
    <t>2021.ALC/A.34</t>
  </si>
  <si>
    <t>Gsahota226@gmail.com</t>
  </si>
  <si>
    <t>Ward no.7 Dinanagar Gurdaspur Punjab 143531</t>
  </si>
  <si>
    <t>HARISH KUMAR</t>
  </si>
  <si>
    <t>JASWINDER KUMAR</t>
  </si>
  <si>
    <t>2021.PLT/A.17</t>
  </si>
  <si>
    <t>Harishpcl21</t>
  </si>
  <si>
    <t>Rjhammma@gmail.com</t>
  </si>
  <si>
    <t>73 Village kambo Amritsar Punjab 143101</t>
  </si>
  <si>
    <t>691398810307</t>
  </si>
  <si>
    <t>ISHAN</t>
  </si>
  <si>
    <t>GYAN PRAKASH</t>
  </si>
  <si>
    <t>2021.ALC/A.31</t>
  </si>
  <si>
    <t>JAGROOP SINGH</t>
  </si>
  <si>
    <t>kuljit kaur</t>
  </si>
  <si>
    <t>2021.ALC/A.21</t>
  </si>
  <si>
    <t>24-10-2004</t>
  </si>
  <si>
    <t>jagroopkhaira04@gmail.com</t>
  </si>
  <si>
    <t>Fatehgarh churian khaira Fatehgarh churian Punjab 143602</t>
  </si>
  <si>
    <t>Fatehgarh churian</t>
  </si>
  <si>
    <t>JOBANJIT SINGH</t>
  </si>
  <si>
    <t>KALYAN SINGH</t>
  </si>
  <si>
    <t>2021.PLT/A.25</t>
  </si>
  <si>
    <t>26-03-2002</t>
  </si>
  <si>
    <t>Jobanjit734@gmail.com</t>
  </si>
  <si>
    <t>Bakipur Tarn Taran Punjab 143302</t>
  </si>
  <si>
    <t>KAJAL</t>
  </si>
  <si>
    <t>2021.ALC/A.16</t>
  </si>
  <si>
    <t>17-09-2002</t>
  </si>
  <si>
    <t>kpikwan3@gmail.com</t>
  </si>
  <si>
    <t>Alam shah / fazilka Fazilka Punjab 152123</t>
  </si>
  <si>
    <t>Fazilka</t>
  </si>
  <si>
    <t>KAJAL BHAGAT</t>
  </si>
  <si>
    <t>Asha Rani</t>
  </si>
  <si>
    <t>2018.SG /A.345</t>
  </si>
  <si>
    <t>Kajalbhagat 1999@rediffmail.com</t>
  </si>
  <si>
    <t>519 Batala Batala Punjab 143505</t>
  </si>
  <si>
    <t>KINSHIKA VOHRA</t>
  </si>
  <si>
    <t>SANDEEP VOHRA</t>
  </si>
  <si>
    <t>Pooja Vohra / Tarish Mehra (husband )</t>
  </si>
  <si>
    <t>2021.ALC/A.24</t>
  </si>
  <si>
    <t>123@78</t>
  </si>
  <si>
    <t>Vohrakinsshuk@gmail.com</t>
  </si>
  <si>
    <t>Beri Gate Market, Amritsar, Punjab 143001, India</t>
  </si>
  <si>
    <t>694267778819</t>
  </si>
  <si>
    <t>MEETANSH</t>
  </si>
  <si>
    <t>VARINDER KUMAR</t>
  </si>
  <si>
    <t>SUDESH KUMARI</t>
  </si>
  <si>
    <t>2021.ALC/A.19</t>
  </si>
  <si>
    <t>kajhotrameetansh@gmail.com</t>
  </si>
  <si>
    <t>Raghav enclave,near gobind public school, Dinanagar,distt-gurdaspur</t>
  </si>
  <si>
    <t>Dinanagar</t>
  </si>
  <si>
    <t>143531</t>
  </si>
  <si>
    <t>830519361947</t>
  </si>
  <si>
    <t>SHARANDEEP KAUR</t>
  </si>
  <si>
    <t>2021.ALC/A.11</t>
  </si>
  <si>
    <t>mehakdeepkaurmehak1@gmail.com</t>
  </si>
  <si>
    <t>TERE KALAN, KHURD, Ajnala, Punjab 143102, India</t>
  </si>
  <si>
    <t>AMITSAR</t>
  </si>
  <si>
    <t>Nasar, Punjab 143103, India</t>
  </si>
  <si>
    <t>592108721458</t>
  </si>
  <si>
    <t>NEHA MITTAL</t>
  </si>
  <si>
    <t>MAHESH KUMAR</t>
  </si>
  <si>
    <t>Saloni</t>
  </si>
  <si>
    <t>2021.ALC/A.29</t>
  </si>
  <si>
    <t>nm5293893@gmail.com</t>
  </si>
  <si>
    <t>12A Ferozepur Ferozepur Punjab 152001</t>
  </si>
  <si>
    <t>688806450149</t>
  </si>
  <si>
    <t>PARTEEK SHARMA</t>
  </si>
  <si>
    <t>MUKESH KUMAR</t>
  </si>
  <si>
    <t>Ekta</t>
  </si>
  <si>
    <t>2021.ALC/A.35</t>
  </si>
  <si>
    <t>sparteek669@gmail.com</t>
  </si>
  <si>
    <t>. Nagoke Tarn taran Punjab 143117</t>
  </si>
  <si>
    <t>PRABHDEEP</t>
  </si>
  <si>
    <t>2021.ALC/A.15</t>
  </si>
  <si>
    <t>RAJANPREET SINGH</t>
  </si>
  <si>
    <t>2021.ALC/A.22</t>
  </si>
  <si>
    <t>rajanpeet45105@gmail.com</t>
  </si>
  <si>
    <t>84 Chogawan Amritsar Punjab 143109</t>
  </si>
  <si>
    <t>2021.ALC/A.12</t>
  </si>
  <si>
    <t>Raman123</t>
  </si>
  <si>
    <t>naharramanpreet45@gmail.com</t>
  </si>
  <si>
    <t>Mianpur Tarn taran Punjab 143105</t>
  </si>
  <si>
    <t>484296805458</t>
  </si>
  <si>
    <t>REET</t>
  </si>
  <si>
    <t>HEERA MASIH</t>
  </si>
  <si>
    <t>Ranjit</t>
  </si>
  <si>
    <t>2021.ALC/A.14</t>
  </si>
  <si>
    <t>Masihreet5@gmail.com</t>
  </si>
  <si>
    <t>Faizullah chack Dhariwal Punjab 143518</t>
  </si>
  <si>
    <t>Dhariwal</t>
  </si>
  <si>
    <t>SHALLU</t>
  </si>
  <si>
    <t>DALBIR CHAND</t>
  </si>
  <si>
    <t>Sarabjit kumari</t>
  </si>
  <si>
    <t>2021.ALC/A.8</t>
  </si>
  <si>
    <t>ks@123456</t>
  </si>
  <si>
    <t>shalludhalotra3@gmail.com</t>
  </si>
  <si>
    <t>Dalhotra house Village : talwandi bajwa Gurdaspur Punjab 143526</t>
  </si>
  <si>
    <t>DILBAGH SINGH</t>
  </si>
  <si>
    <t>Jasbir Kaur</t>
  </si>
  <si>
    <t>2021.ALC/A.26</t>
  </si>
  <si>
    <t>shaluchohan677@gmail.com</t>
  </si>
  <si>
    <t>House no. 58 Village Muchhal Amritsar Punjab 143111</t>
  </si>
  <si>
    <t>SIMRANDEEP SINGH</t>
  </si>
  <si>
    <t>2020.ALC/A.45</t>
  </si>
  <si>
    <t>HAKAM SINGH</t>
  </si>
  <si>
    <t>2021.ALC/A.10</t>
  </si>
  <si>
    <t>kaursimran25874@gmail.com</t>
  </si>
  <si>
    <t>96 Vill.Dhurkot ransih reh nihal Singh wala distt moga Moga Punjab 142055</t>
  </si>
  <si>
    <t>636460652421</t>
  </si>
  <si>
    <t>SOURAV KUMAR</t>
  </si>
  <si>
    <t>MOHINDER PAL</t>
  </si>
  <si>
    <t>2021.ALC/A.20</t>
  </si>
  <si>
    <t>SUPREEM KAUR</t>
  </si>
  <si>
    <t>2021.ALC/A.7</t>
  </si>
  <si>
    <t>TAMANNA</t>
  </si>
  <si>
    <t>MADAN MOHAN</t>
  </si>
  <si>
    <t>2021.ALC/A.27</t>
  </si>
  <si>
    <t>TARANPREET KAUR</t>
  </si>
  <si>
    <t>S.SATINDER PAL SINGH</t>
  </si>
  <si>
    <t>2021.ALC/A.25</t>
  </si>
  <si>
    <t>VANSHIKA SHARMA</t>
  </si>
  <si>
    <t>Vandna sharma</t>
  </si>
  <si>
    <t>2021.ALC/A.23</t>
  </si>
  <si>
    <t>imvanshu07@gmail.com</t>
  </si>
  <si>
    <t>Bharyal ,Pathankot Punjab 143534</t>
  </si>
  <si>
    <t>515713963254</t>
  </si>
  <si>
    <t>VIMAL DEEP SINGH</t>
  </si>
  <si>
    <t>2020.ALC/A.35</t>
  </si>
  <si>
    <t>2025-2028</t>
  </si>
  <si>
    <t>LLB</t>
  </si>
  <si>
    <t>Raveena</t>
  </si>
  <si>
    <t>Satish Kumar</t>
  </si>
  <si>
    <t>Kavita</t>
  </si>
  <si>
    <t>2012.DW /A.1040</t>
  </si>
  <si>
    <t>aroraraveena14@gmail.com</t>
  </si>
  <si>
    <t>House No. 1320, Street No.6, Kapoor Nagar</t>
  </si>
  <si>
    <t>Hindu</t>
  </si>
  <si>
    <t>MS. MANVI BADYAL</t>
  </si>
  <si>
    <t>Simar Virdi</t>
  </si>
  <si>
    <t>Palvinder Singh Virdi</t>
  </si>
  <si>
    <t>Harwinder Kaur</t>
  </si>
  <si>
    <t>2012.DW/A.940</t>
  </si>
  <si>
    <t>Svirdi006@gmail.com</t>
  </si>
  <si>
    <t>HNo.202, Ajit Nagar, Sultanwind road</t>
  </si>
  <si>
    <t>FEMALE</t>
  </si>
  <si>
    <t>HARJINDER KAUR</t>
  </si>
  <si>
    <t>2012.KW/A.339</t>
  </si>
  <si>
    <t>amanpreet17692@gmail.com</t>
  </si>
  <si>
    <t>FATAHPUR-1</t>
  </si>
  <si>
    <t>+O</t>
  </si>
  <si>
    <t>SIKH</t>
  </si>
  <si>
    <t xml:space="preserve">KARANBIR SINGH </t>
  </si>
  <si>
    <t>JAGIR SINGH</t>
  </si>
  <si>
    <t>2015.GTA/A.108</t>
  </si>
  <si>
    <t>singh1997</t>
  </si>
  <si>
    <t>safrikaran@gmail.com</t>
  </si>
  <si>
    <t xml:space="preserve">VPO SATHIALA TEHSIL BABA BAKALA SAHIB DISTRICT AMRITSAR PUNJAB </t>
  </si>
  <si>
    <t xml:space="preserve">AMRITSAR </t>
  </si>
  <si>
    <t xml:space="preserve"> LOVEPREET SINGH</t>
  </si>
  <si>
    <t>RANJIT KAUR</t>
  </si>
  <si>
    <t>2015.NZ / .4122</t>
  </si>
  <si>
    <t>mehakpreetsingh58549@gmail.com</t>
  </si>
  <si>
    <t>V.P.O. KHAWASPUR, TEH: KHADOOR SAHIB, DISTT: TARN TARAN</t>
  </si>
  <si>
    <t xml:space="preserve">SC </t>
  </si>
  <si>
    <t>B +VE</t>
  </si>
  <si>
    <t>Wilson</t>
  </si>
  <si>
    <t>Karma Masih</t>
  </si>
  <si>
    <t>Sukhwinder</t>
  </si>
  <si>
    <t>2016.NZ .11434</t>
  </si>
  <si>
    <t>Wilsongill1122@gmail.com</t>
  </si>
  <si>
    <t>Village supariwind,Majitha,Amritsar,Punjab 143601</t>
  </si>
  <si>
    <t>Christian</t>
  </si>
  <si>
    <t xml:space="preserve">Ramesh Kumar </t>
  </si>
  <si>
    <t xml:space="preserve">Chanchal </t>
  </si>
  <si>
    <t>2018.GV/A.875</t>
  </si>
  <si>
    <t>95010 43906</t>
  </si>
  <si>
    <t>rsaloni781@gmail.com</t>
  </si>
  <si>
    <t xml:space="preserve">Hno 705#22 ahata no 100 ghass mandhi opp nandan parking </t>
  </si>
  <si>
    <t xml:space="preserve">Amritsar </t>
  </si>
  <si>
    <t xml:space="preserve">DANISH SHARMA </t>
  </si>
  <si>
    <t xml:space="preserve">MUKESH SHARMA </t>
  </si>
  <si>
    <t>POONAM RANI</t>
  </si>
  <si>
    <t>2019.DA /A.868</t>
  </si>
  <si>
    <t>danishsharma4786@gmail.com</t>
  </si>
  <si>
    <t xml:space="preserve">H.no 47 green field phase-2 majitha road amritsar </t>
  </si>
  <si>
    <t xml:space="preserve">General </t>
  </si>
  <si>
    <t xml:space="preserve">Hindu </t>
  </si>
  <si>
    <t>5141 2986 5269</t>
  </si>
  <si>
    <t xml:space="preserve">Kulwinder Kaur </t>
  </si>
  <si>
    <t>Kishan singh</t>
  </si>
  <si>
    <t>Ratan kaur</t>
  </si>
  <si>
    <t>2019.SDP/A.8</t>
  </si>
  <si>
    <t>Deepak@978032</t>
  </si>
  <si>
    <t>kulwinder588u@gmail.com</t>
  </si>
  <si>
    <t>Village tajpur</t>
  </si>
  <si>
    <t xml:space="preserve">Pathankot </t>
  </si>
  <si>
    <t xml:space="preserve">B positive </t>
  </si>
  <si>
    <t>Tisha Chawla</t>
  </si>
  <si>
    <t>Ravinderpal Singh Chawla</t>
  </si>
  <si>
    <t xml:space="preserve">Manpreet Kaur </t>
  </si>
  <si>
    <t>2020.UBS/A.61</t>
  </si>
  <si>
    <t>tiaihatethat</t>
  </si>
  <si>
    <t>tisha.chawla608@gmail.com</t>
  </si>
  <si>
    <t>1232/8, qilla bhangian, Amritsar</t>
  </si>
  <si>
    <t>Vishal Kumar</t>
  </si>
  <si>
    <t>Sunil Kumar</t>
  </si>
  <si>
    <t>Veena</t>
  </si>
  <si>
    <t>2020.T /A.2</t>
  </si>
  <si>
    <t>superstarvishal4@gmail.com</t>
  </si>
  <si>
    <t xml:space="preserve">324min,Gali no.3,Sher Shah Suri Road,Hargobind nagar, Chheharta </t>
  </si>
  <si>
    <t>Balmiki</t>
  </si>
  <si>
    <t>HASSANPREET SINGH</t>
  </si>
  <si>
    <t>HARPAL SINGH</t>
  </si>
  <si>
    <t>SHARANJIT KAUR</t>
  </si>
  <si>
    <t>2020.SSS/A.56</t>
  </si>
  <si>
    <t>Hsamra978@gmail.com</t>
  </si>
  <si>
    <t xml:space="preserve">12/14 PAWAN NAGAR BATALA ROAD,AMRITSAR,PUNJAB-143001   </t>
  </si>
  <si>
    <t>B-</t>
  </si>
  <si>
    <t>RIMZIM</t>
  </si>
  <si>
    <t>Harpreet Singh Sandhu</t>
  </si>
  <si>
    <t>Sarabjeet Kaur Sandhu</t>
  </si>
  <si>
    <t>2020.GKP/A.19</t>
  </si>
  <si>
    <t xml:space="preserve">81468 19874 </t>
  </si>
  <si>
    <t xml:space="preserve">62801 20698 </t>
  </si>
  <si>
    <t>+91 73476 56442</t>
  </si>
  <si>
    <t>Rimjhimsandhu6@gmail.com</t>
  </si>
  <si>
    <t>Sheikh Chak, PO- Lalpura,</t>
  </si>
  <si>
    <t xml:space="preserve">Tarn Taran </t>
  </si>
  <si>
    <t xml:space="preserve">Jatt Sikh </t>
  </si>
  <si>
    <t>ASHISH KUMAR SURI</t>
  </si>
  <si>
    <t>KIRTI KUMAR</t>
  </si>
  <si>
    <t>VIJAY LAXMI</t>
  </si>
  <si>
    <t>2021.BC /A.135</t>
  </si>
  <si>
    <t>rockstarsuri</t>
  </si>
  <si>
    <t>ashishsuri597@gmail.com</t>
  </si>
  <si>
    <t>3368 Gali arayian wali Jandiala Guru Amritsar</t>
  </si>
  <si>
    <t>JANDIALA GURU</t>
  </si>
  <si>
    <t xml:space="preserve">A+ (POSITIVE) </t>
  </si>
  <si>
    <t>HINDUISM</t>
  </si>
  <si>
    <t>Muktika Kapoor</t>
  </si>
  <si>
    <t>Vivek Kapoor</t>
  </si>
  <si>
    <t>Monika Kapoor</t>
  </si>
  <si>
    <t>2025.ALC/A.1</t>
  </si>
  <si>
    <t>muktikakapoor1803@gmail.com</t>
  </si>
  <si>
    <t>Ward no 2 Teh Nurpur, Nurpur (T),Kangra,Nurpur ,Himachal Pradesh,176202</t>
  </si>
  <si>
    <t xml:space="preserve">Nurpur </t>
  </si>
  <si>
    <t xml:space="preserve">Himachal Pradesh </t>
  </si>
  <si>
    <t>8761 4647 9015</t>
  </si>
  <si>
    <t>SAURABH</t>
  </si>
  <si>
    <t xml:space="preserve">SUNITA SHANGARI </t>
  </si>
  <si>
    <t>98.DA/A.900</t>
  </si>
  <si>
    <t>Shangari.1981</t>
  </si>
  <si>
    <t>jssales.amritsar@gmail.com</t>
  </si>
  <si>
    <t>B 1364-1365 New Amritsar, G T Road, Amritsar. 143001 Punjab</t>
  </si>
  <si>
    <t xml:space="preserve">Shabnampreet kaur </t>
  </si>
  <si>
    <t xml:space="preserve">Avtar Singh </t>
  </si>
  <si>
    <t xml:space="preserve">Harpreet kaur </t>
  </si>
  <si>
    <t>2022.DWB/A.276</t>
  </si>
  <si>
    <t>shabnampreetk021@gmail.com</t>
  </si>
  <si>
    <t xml:space="preserve">Hno.196, Sunder nagar, Dhangu road , Pathankot </t>
  </si>
  <si>
    <t xml:space="preserve">Punjab </t>
  </si>
  <si>
    <t>Kaushal sareen</t>
  </si>
  <si>
    <t>Arvind sareen</t>
  </si>
  <si>
    <t>Shikha sareen</t>
  </si>
  <si>
    <t>2022.DA /A.374</t>
  </si>
  <si>
    <t>kaushalsareen12@gmail.com</t>
  </si>
  <si>
    <t>168 east mohan nagar Sultanwind road</t>
  </si>
  <si>
    <t>Komalpreet kaur</t>
  </si>
  <si>
    <t xml:space="preserve">S.Major Singh </t>
  </si>
  <si>
    <t xml:space="preserve">Smt. Kulbir kaur </t>
  </si>
  <si>
    <t>2022.GAK/A.38</t>
  </si>
  <si>
    <t>Komalsatguru414@ gmail.com</t>
  </si>
  <si>
    <t xml:space="preserve">Bhail </t>
  </si>
  <si>
    <t xml:space="preserve">Fatehabad </t>
  </si>
  <si>
    <t>Sikhism</t>
  </si>
  <si>
    <t>Karan singh gill</t>
  </si>
  <si>
    <t>Nirmal singh gill</t>
  </si>
  <si>
    <t>Rajwinder kaur gill</t>
  </si>
  <si>
    <t>2022.NZ/.2369</t>
  </si>
  <si>
    <t>NirmalGill@1</t>
  </si>
  <si>
    <t>karangilll7777@gmail.com</t>
  </si>
  <si>
    <t xml:space="preserve">H.no 111 thakur ji estate fgc road nangli Amritsar </t>
  </si>
  <si>
    <t>Lovepreet singh</t>
  </si>
  <si>
    <t>Sakattar singh</t>
  </si>
  <si>
    <t>2023.POL/A.14</t>
  </si>
  <si>
    <t>lavirandhawa@gmail.com</t>
  </si>
  <si>
    <t>Sehnsra kalan</t>
  </si>
  <si>
    <t xml:space="preserve">Unreserved </t>
  </si>
  <si>
    <t xml:space="preserve">Jashandeep kaur </t>
  </si>
  <si>
    <t xml:space="preserve">Kujlit singh </t>
  </si>
  <si>
    <t xml:space="preserve">Simarjit kaur </t>
  </si>
  <si>
    <t>2020.K /A.1576</t>
  </si>
  <si>
    <t>joban123</t>
  </si>
  <si>
    <t>+91 7657-952296</t>
  </si>
  <si>
    <t>Kaurjashandeep079@gmail.com</t>
  </si>
  <si>
    <t>Machhike, Tarn Taran, Punjab, 143419</t>
  </si>
  <si>
    <t xml:space="preserve">Khem karan </t>
  </si>
  <si>
    <t xml:space="preserve">A+ </t>
  </si>
  <si>
    <t xml:space="preserve">Sikh </t>
  </si>
  <si>
    <t>3032 6665 1418</t>
  </si>
  <si>
    <t>Kamaldeep singh</t>
  </si>
  <si>
    <t>Narinder singh</t>
  </si>
  <si>
    <t>Rani Osahan</t>
  </si>
  <si>
    <t>2004.K/A.1086</t>
  </si>
  <si>
    <t>Ksosahan@live.in</t>
  </si>
  <si>
    <t xml:space="preserve">F-7/439 Kashmir avenue batala road </t>
  </si>
  <si>
    <t>Akanksha Mahajan</t>
  </si>
  <si>
    <t>Deepak Mahajan</t>
  </si>
  <si>
    <t>Sheetal Mahajan</t>
  </si>
  <si>
    <t>2020.K /A.67</t>
  </si>
  <si>
    <t>+91 98779 75683</t>
  </si>
  <si>
    <t>akankshamahajan3715@gmail.com</t>
  </si>
  <si>
    <t>20/17New Pawan Nagar</t>
  </si>
  <si>
    <t>Manoj kumar</t>
  </si>
  <si>
    <t>Ashok kumar</t>
  </si>
  <si>
    <t>2007.H/A.489</t>
  </si>
  <si>
    <t>kmanoj889@gmail.com</t>
  </si>
  <si>
    <t>2958 gali no 2 putlighar amritsar</t>
  </si>
  <si>
    <t>Genral</t>
  </si>
  <si>
    <t xml:space="preserve">Harmanjit singh </t>
  </si>
  <si>
    <t>S. Nirmal singh</t>
  </si>
  <si>
    <t xml:space="preserve">Manjit kaur </t>
  </si>
  <si>
    <t>2025.ALC/A.3</t>
  </si>
  <si>
    <t>Jeetharman0209@gmail.com</t>
  </si>
  <si>
    <t xml:space="preserve">4836, Mohan nagar, Amritsar </t>
  </si>
  <si>
    <t>Obc</t>
  </si>
  <si>
    <t>Jarnail Singh</t>
  </si>
  <si>
    <t>Amar Nath</t>
  </si>
  <si>
    <t>Kartaro Devi</t>
  </si>
  <si>
    <t>83Snd/A-125</t>
  </si>
  <si>
    <t>jarnailsingh101964@gmail.com</t>
  </si>
  <si>
    <t>Ward no 1670 Garden Avenue near Dr Pal residence  Jail Road Gurdaspur 143521</t>
  </si>
  <si>
    <t xml:space="preserve">Gurdaspur </t>
  </si>
  <si>
    <t>2025.ALC/A.2</t>
  </si>
  <si>
    <t>jasbaggabagga@gmail.com</t>
  </si>
  <si>
    <t xml:space="preserve"># 430 ST NO 14 Jandu Enclave Bachan Singh Marg </t>
  </si>
  <si>
    <t>ludhiana</t>
  </si>
  <si>
    <t>general</t>
  </si>
  <si>
    <t>hindu sikh</t>
  </si>
  <si>
    <t>DEVESH ARORA</t>
  </si>
  <si>
    <t>MUNISH ARORA</t>
  </si>
  <si>
    <t>PUJA ARORA</t>
  </si>
  <si>
    <t>2025.ALC/A.9</t>
  </si>
  <si>
    <t>08427844355</t>
  </si>
  <si>
    <t>Devesharora2330@gmail.com</t>
  </si>
  <si>
    <t>355 Shastri Nagar</t>
  </si>
  <si>
    <t>2024-2027</t>
  </si>
  <si>
    <t>PRABHDEEPINDER SINGH</t>
  </si>
  <si>
    <t>MANDEEP KAUR</t>
  </si>
  <si>
    <t>2017.SSS/A.27</t>
  </si>
  <si>
    <t>9464261655</t>
  </si>
  <si>
    <t>prabh.sarkaria49@gmail.com</t>
  </si>
  <si>
    <t>B-191, B Block, New Amritsar Colony, Amritsar</t>
  </si>
  <si>
    <t>Amritsar, Punjab 143001, India</t>
  </si>
  <si>
    <t>MS. HARMANJOT KAUR</t>
  </si>
  <si>
    <t>518607122527</t>
  </si>
  <si>
    <t>KASHMIR KAUR</t>
  </si>
  <si>
    <t>2018.SPR/A.83</t>
  </si>
  <si>
    <t>dhaliwalmandeep695@gmail.com</t>
  </si>
  <si>
    <t>Chhapianwali, Punjab, India</t>
  </si>
  <si>
    <t>143202</t>
  </si>
  <si>
    <t>GENARAL</t>
  </si>
  <si>
    <t>970946648548</t>
  </si>
  <si>
    <t>AKSHDEEP KAUR</t>
  </si>
  <si>
    <t>2020.MC /A.2</t>
  </si>
  <si>
    <t>MANVI MEHTA</t>
  </si>
  <si>
    <t>ANIL MEHTA</t>
  </si>
  <si>
    <t>Pooja Mehta</t>
  </si>
  <si>
    <t>2020.H /A.184</t>
  </si>
  <si>
    <t>manvimehta5678@gmail.com</t>
  </si>
  <si>
    <t>2883/ 1x-17, chide Wala Chowk, Near Bagichi Mandir</t>
  </si>
  <si>
    <t>Rampura, Punjab 143006, India</t>
  </si>
  <si>
    <t>363606714320</t>
  </si>
  <si>
    <t>KASHISH VERMA</t>
  </si>
  <si>
    <t>RAJESH VERMA</t>
  </si>
  <si>
    <t>SUNITA</t>
  </si>
  <si>
    <t>2020.H /A.195</t>
  </si>
  <si>
    <t>kashishverma9067@gmail.com</t>
  </si>
  <si>
    <t>3117/9, MAIN BAZAR, I/S GATE HAKIMAN, AMRITSAR-I, AMRITSAR</t>
  </si>
  <si>
    <t>824264874801</t>
  </si>
  <si>
    <t>DALJEET KAUR</t>
  </si>
  <si>
    <t>2021.MCT/A.54</t>
  </si>
  <si>
    <t>jsingh51496@gmail.com</t>
  </si>
  <si>
    <t>Sarhali Khurd, Punjab 143415, India</t>
  </si>
  <si>
    <t>Tarn Taran, Punjab, India</t>
  </si>
  <si>
    <t>700816115919</t>
  </si>
  <si>
    <t>NIRDOSH SANYAL</t>
  </si>
  <si>
    <t>RAJNI KUMARI</t>
  </si>
  <si>
    <t>2007.DA /A.962</t>
  </si>
  <si>
    <t>nirdoshsanyal@gmail.com</t>
  </si>
  <si>
    <t>GOURAV CLINC, DOBURJI, Grand Trunk Rd, Amritsar, Punjab, India</t>
  </si>
  <si>
    <t>143022</t>
  </si>
  <si>
    <t>526743119349</t>
  </si>
  <si>
    <t>ABHISHEK SHARMA</t>
  </si>
  <si>
    <t>KRISHAN KUMAR SHARMA</t>
  </si>
  <si>
    <t>JASWINDER KAUR SHARMA</t>
  </si>
  <si>
    <t>2024.ALC/A.3</t>
  </si>
  <si>
    <t>abhishekeducationalservices@gmail.com</t>
  </si>
  <si>
    <t>Sushma Valencia, 90, Nagla Rd, near Manav Mangal Smart school, Zirakpur, Punjab 140603, India</t>
  </si>
  <si>
    <t>Sahibzada Ajit Singh Nagar, Punjab, India</t>
  </si>
  <si>
    <t>Azizpur, Punjab 140603, India</t>
  </si>
  <si>
    <t>348138918355</t>
  </si>
  <si>
    <t>EKANKI SAMBYAL</t>
  </si>
  <si>
    <t>ROOP CHAND</t>
  </si>
  <si>
    <t>KAMLESH KUMARI</t>
  </si>
  <si>
    <t>2024.ALC/A.1</t>
  </si>
  <si>
    <t>EKANKISAMBYAL@GMAIL.COM</t>
  </si>
  <si>
    <t>OPP. SUB JAIL WARD, NO 2 HARA NAGAR, DIST: KATHUA</t>
  </si>
  <si>
    <t>Jalandhar, Punjab, India</t>
  </si>
  <si>
    <t>184142</t>
  </si>
  <si>
    <t>988900526387</t>
  </si>
  <si>
    <t>HIMANSI SINGH</t>
  </si>
  <si>
    <t>DEEP NARAYAN</t>
  </si>
  <si>
    <t>SHASHI PRABHA</t>
  </si>
  <si>
    <t>2024.ALC/A.4</t>
  </si>
  <si>
    <t>himansi2002singh@gmail.com</t>
  </si>
  <si>
    <t>113, Grand Trunk Rd, Guru Arjun Nagar, Putli Ghar, Amritsar, Punjab 143001, India</t>
  </si>
  <si>
    <t>429811737566</t>
  </si>
  <si>
    <t>RITESH ARORA</t>
  </si>
  <si>
    <t>VIPAN ARORA</t>
  </si>
  <si>
    <t>SEEMA ARORA</t>
  </si>
  <si>
    <t>2009.DA /A.1281</t>
  </si>
  <si>
    <t>ritesharora1628@gmail.com</t>
  </si>
  <si>
    <t>Vrindavan Garden, Fateh Garh Churian Rd, Daya Nand Nagar, Nanngli, Amritsar, Punjab 143008, India</t>
  </si>
  <si>
    <t>518827095930</t>
  </si>
  <si>
    <t>AKSHAT KUMAR JAIN</t>
  </si>
  <si>
    <t>2024.ALC/A.5</t>
  </si>
  <si>
    <t>PAVNEET KAUR</t>
  </si>
  <si>
    <t>BRIJ RAJ SINGH</t>
  </si>
  <si>
    <t>2009.DW /A.960</t>
  </si>
  <si>
    <t>RAVISH BHASIN</t>
  </si>
  <si>
    <t>VIPAN BHASIN</t>
  </si>
  <si>
    <t>2024.ALC/A.7</t>
  </si>
  <si>
    <t>2023-2026</t>
  </si>
  <si>
    <t>DEEPAK DHEMBLA</t>
  </si>
  <si>
    <t>R K DHEMBLA</t>
  </si>
  <si>
    <t>2022.ALC/A.5</t>
  </si>
  <si>
    <t>MS. ANKITA JOSHI</t>
  </si>
  <si>
    <t>KAWALJIT KAUR</t>
  </si>
  <si>
    <t>2016.DB /A.28</t>
  </si>
  <si>
    <t>UDHAV CHADDA</t>
  </si>
  <si>
    <t>RAJESH CHADDA</t>
  </si>
  <si>
    <t>2019.DA /A.842</t>
  </si>
  <si>
    <t>VAIBHAV KUMAR</t>
  </si>
  <si>
    <t>SANJAY KUMAR</t>
  </si>
  <si>
    <t>2019.GV /A.575</t>
  </si>
  <si>
    <t>17-04-2002</t>
  </si>
  <si>
    <t>Vbhvsaab@gmail.com</t>
  </si>
  <si>
    <t>House no.1682 Amritsar Amritsar Punjab 143001</t>
  </si>
  <si>
    <t>SANGINI KUMARI</t>
  </si>
  <si>
    <t>GOBIND KUMAR</t>
  </si>
  <si>
    <t>Chanda devi</t>
  </si>
  <si>
    <t>2019.DW /A.321</t>
  </si>
  <si>
    <t>san123</t>
  </si>
  <si>
    <t>26-11-2000</t>
  </si>
  <si>
    <t>kumarsawan5582@gmail.com</t>
  </si>
  <si>
    <t>baba deep singh colony nangli bhatta amritsar amritsar amritsar Punjab 143001</t>
  </si>
  <si>
    <t>ROSHAN SINGH</t>
  </si>
  <si>
    <t>HARJANT SINGH</t>
  </si>
  <si>
    <t>2019.GUP/A.90</t>
  </si>
  <si>
    <t>roshansinghpb46@gmail.com</t>
  </si>
  <si>
    <t>Banwalipur Tarn taran Punjab 143401</t>
  </si>
  <si>
    <t>ANCHALPREET KAUR</t>
  </si>
  <si>
    <t>Barinderjit kaur</t>
  </si>
  <si>
    <t>2019.DWK/A.24</t>
  </si>
  <si>
    <t>Dips@123</t>
  </si>
  <si>
    <t>19-06-2000</t>
  </si>
  <si>
    <t>anchalpreetkaur028@gmail.com</t>
  </si>
  <si>
    <t>Baba sawan singh nagar beas Amritsar Punjab 143201</t>
  </si>
  <si>
    <t>REKHA KAUR</t>
  </si>
  <si>
    <t>2019.SSA/D.12</t>
  </si>
  <si>
    <t>rekha99</t>
  </si>
  <si>
    <t>29-10-1999</t>
  </si>
  <si>
    <t>rekha62832.gmailcom.</t>
  </si>
  <si>
    <t>Mehoka Amrtisar Punjab 143001</t>
  </si>
  <si>
    <t>Amrtisar</t>
  </si>
  <si>
    <t>ARZOO NAYYAR</t>
  </si>
  <si>
    <t>RAMESH KUMAR NAYYAR</t>
  </si>
  <si>
    <t>Sujata Nayyar</t>
  </si>
  <si>
    <t>2016.DW/A.1185</t>
  </si>
  <si>
    <t>30-10-1997</t>
  </si>
  <si>
    <t>arzoonayyar20@gmail.com</t>
  </si>
  <si>
    <t>68, premium living lane, holy city Amritsar Amritsar Punjab 143001</t>
  </si>
  <si>
    <t>KAMAKSHI MAHAJAN</t>
  </si>
  <si>
    <t>RAJAN</t>
  </si>
  <si>
    <t>Pooja gupta</t>
  </si>
  <si>
    <t>2020.B /A.423</t>
  </si>
  <si>
    <t>Kamakshi1871</t>
  </si>
  <si>
    <t>30-09-2002</t>
  </si>
  <si>
    <t>mahajankamakshi43@gmail.com</t>
  </si>
  <si>
    <t>House no. 46/3 Batala Batala Punjab 143505</t>
  </si>
  <si>
    <t>ROSEDEEP KAUR</t>
  </si>
  <si>
    <t>RAJA RANVIR SINGH</t>
  </si>
  <si>
    <t>Soniya kaur</t>
  </si>
  <si>
    <t>2020.DA /A.609</t>
  </si>
  <si>
    <t>30-07-2002</t>
  </si>
  <si>
    <t>rosedeep2002@gmail.com</t>
  </si>
  <si>
    <t>Tarn taran Tarn taran Punjab 143401</t>
  </si>
  <si>
    <t>SANAH IQBAL</t>
  </si>
  <si>
    <t>IQBAL MASIH</t>
  </si>
  <si>
    <t>Veenus</t>
  </si>
  <si>
    <t>2020.TCJ/A.9</t>
  </si>
  <si>
    <t>23-02-2003</t>
  </si>
  <si>
    <t>abhibhatti0pb46@gmail.com</t>
  </si>
  <si>
    <t>52 Bhojian Amritsar Punjab 143301</t>
  </si>
  <si>
    <t>KARANBIR VASDEV</t>
  </si>
  <si>
    <t>DAVINDER KUMAR</t>
  </si>
  <si>
    <t>2022.ALC/A.8</t>
  </si>
  <si>
    <t>KHUSHBOO THUKRAL</t>
  </si>
  <si>
    <t>KEWAL KRISHAN THUKRAL</t>
  </si>
  <si>
    <t>NIRMAL THUKRAL</t>
  </si>
  <si>
    <t>2010.DW /A.478</t>
  </si>
  <si>
    <t>Thukral8222@gmail.com</t>
  </si>
  <si>
    <t>Jandiala guru Amritsar Punjab 143149</t>
  </si>
  <si>
    <t>299652944584</t>
  </si>
  <si>
    <t>JASPAL GILL</t>
  </si>
  <si>
    <t>GURDIAL GILL</t>
  </si>
  <si>
    <t>84.HJ /A.1053</t>
  </si>
  <si>
    <t>2018.K /A.499</t>
  </si>
  <si>
    <t>28-01-2000</t>
  </si>
  <si>
    <t>hg973006@gmail.com</t>
  </si>
  <si>
    <t>239/40 Amritsar Amritsar Punjab 143001</t>
  </si>
  <si>
    <t>JASRAJ CHAUDHRI</t>
  </si>
  <si>
    <t>RAKESH CHAUDHRI</t>
  </si>
  <si>
    <t>2023.ALC/A.112</t>
  </si>
  <si>
    <t>LOVEJEET</t>
  </si>
  <si>
    <t>AJAB SINGH</t>
  </si>
  <si>
    <t>Mohinder kaur</t>
  </si>
  <si>
    <t>2009.GT /A.200</t>
  </si>
  <si>
    <t>cheeda47@gmail.com</t>
  </si>
  <si>
    <t>Hno.809 Mohalla shekhupura Jandiala guru Punjab 143115</t>
  </si>
  <si>
    <t>Prabhjot Kaur</t>
  </si>
  <si>
    <t>Sukhwinder Singh</t>
  </si>
  <si>
    <t>2018.GTB/D.74</t>
  </si>
  <si>
    <t>prabhjotkaurhoney33312@gmail.com</t>
  </si>
  <si>
    <t>H.no. L-6/2405, Gali No. 1, Krishna Nagar, Tarn Taran Road</t>
  </si>
  <si>
    <t>3879 9805 1433</t>
  </si>
  <si>
    <t>Armaanpreet Singh</t>
  </si>
  <si>
    <t>Sukhpal Singh</t>
  </si>
  <si>
    <t>2022.ALC/A.88</t>
  </si>
  <si>
    <t>armaanpreet.singh2003@gmail.com</t>
  </si>
  <si>
    <t>107, Guru Teg Bahadur Estate, Opp. SGRD hospital, vallah, Amritsar.</t>
  </si>
  <si>
    <t>Anukdeep kaur</t>
  </si>
  <si>
    <t>Baljeet singh</t>
  </si>
  <si>
    <t>anuksindhu123@gmail.com</t>
  </si>
  <si>
    <t>C/O: Baljeet Singh, Jatta, PO: Sheron, DIST: Tarn Taran, Punjab - 143411</t>
  </si>
  <si>
    <t>O positive</t>
  </si>
  <si>
    <t>sikh</t>
  </si>
  <si>
    <t>Ramandeep kaur</t>
  </si>
  <si>
    <t>Sukhdev singh</t>
  </si>
  <si>
    <t>rmandeepk34@gmail.com</t>
  </si>
  <si>
    <t>Bhikhiwind tarn taran</t>
  </si>
  <si>
    <t>Bhikhiwind</t>
  </si>
  <si>
    <t>MR. SURINDER SINGH</t>
  </si>
  <si>
    <t>Harmanpreet singh</t>
  </si>
  <si>
    <t>Kuldeep singh</t>
  </si>
  <si>
    <t>harmansandhu2k23@gmail.com</t>
  </si>
  <si>
    <t>Pati das ki, Bhikhiwind, Tarn Taran, Punjab</t>
  </si>
  <si>
    <t>Gernal</t>
  </si>
  <si>
    <t>Sourav</t>
  </si>
  <si>
    <t>Swami</t>
  </si>
  <si>
    <t>souravpall575@gmail.com</t>
  </si>
  <si>
    <t>Professor colony Majitha road</t>
  </si>
  <si>
    <t>Bc</t>
  </si>
  <si>
    <t>-B</t>
  </si>
  <si>
    <t>Romanpreet Kaur</t>
  </si>
  <si>
    <t>Kulwant Singh</t>
  </si>
  <si>
    <t>2025.ALC./A.12</t>
  </si>
  <si>
    <t>79868 42679</t>
  </si>
  <si>
    <t>98154 24837</t>
  </si>
  <si>
    <t>romanpreetkaur006@gmail.com</t>
  </si>
  <si>
    <t>V.P.O Bagrian Punjab</t>
  </si>
  <si>
    <t>Sikhiam</t>
  </si>
  <si>
    <t>Navjot kaur</t>
  </si>
  <si>
    <t>Simranjitsaab800@gmail.com</t>
  </si>
  <si>
    <t>V.P.O KOHALA house no.75</t>
  </si>
  <si>
    <t>Bhoomika</t>
  </si>
  <si>
    <t>Darshan lal</t>
  </si>
  <si>
    <t>b4818704@gmail.com</t>
  </si>
  <si>
    <t>House no.2505, gali no. 26, meharpura , amritsar</t>
  </si>
  <si>
    <t>Anujot kaur</t>
  </si>
  <si>
    <t>Amandeep kaur</t>
  </si>
  <si>
    <t>sandhuanujot@gmail.com</t>
  </si>
  <si>
    <t>Village Bua nangali , po Adliwala, bua nangali amritsar , punjab</t>
  </si>
  <si>
    <t>DR. KIRANPREET KAUR</t>
  </si>
  <si>
    <t>Manveer kaur</t>
  </si>
  <si>
    <t>Raj kumar</t>
  </si>
  <si>
    <t>2024.NZ/ .2753</t>
  </si>
  <si>
    <t>manveer77kaur77@gmail.com</t>
  </si>
  <si>
    <t>VPO Sohal , dist. Gurdaspur</t>
  </si>
  <si>
    <t>Vandeep kaur</t>
  </si>
  <si>
    <t>Sukhjinder singh</t>
  </si>
  <si>
    <t>Gurwant kaur</t>
  </si>
  <si>
    <t>Kaurvandeep32@gmail.com</t>
  </si>
  <si>
    <t>Near Guruduwara Baba Aala Singh, Abdal</t>
  </si>
  <si>
    <t>Sechdule caste</t>
  </si>
  <si>
    <t>2025.AlC/A.69</t>
  </si>
  <si>
    <t>kaursumanpreet211@gmail.coml</t>
  </si>
  <si>
    <t>Vill.Chattarpur , Fatehgarh Sahib Punjab -147301</t>
  </si>
  <si>
    <t>MANDI GOBINDGARH</t>
  </si>
  <si>
    <t>A(-)</t>
  </si>
  <si>
    <t>Sonia Rani</t>
  </si>
  <si>
    <t>Shinder Singh</t>
  </si>
  <si>
    <t>soniarani94639@gmail.com</t>
  </si>
  <si>
    <t>V.P.O HAZARA SINGH WALA , MAMDOT HITHAR , FIROZPUR</t>
  </si>
  <si>
    <t>Yuvraj singh</t>
  </si>
  <si>
    <t>Alambir singh</t>
  </si>
  <si>
    <t>Kamaljt kaur</t>
  </si>
  <si>
    <t>Yuvrajrandhawa13045@gmail.com</t>
  </si>
  <si>
    <t>Pandori ran singh</t>
  </si>
  <si>
    <t>Mam</t>
  </si>
  <si>
    <t>Gursirt kaur</t>
  </si>
  <si>
    <t>Gurbhej singh</t>
  </si>
  <si>
    <t>Varinder kaur</t>
  </si>
  <si>
    <t>siratboparai01@gmail.com</t>
  </si>
  <si>
    <t>House 13 street 8 jyotisar colony jandiala guru amritsar</t>
  </si>
  <si>
    <t>B +ve</t>
  </si>
  <si>
    <t>Jujhar singh</t>
  </si>
  <si>
    <t>Bhupinder singh l</t>
  </si>
  <si>
    <t>Bssandhu0575@gmail.com</t>
  </si>
  <si>
    <t>Toot vpo bhangala patti</t>
  </si>
  <si>
    <t>Tarntaran</t>
  </si>
  <si>
    <t>Sania Karorhia</t>
  </si>
  <si>
    <t>Vijay Singh</t>
  </si>
  <si>
    <t>karorhiasania@gmail.com</t>
  </si>
  <si>
    <t>Village shahbazpur, urmar, hoshiarpur, Punjab,</t>
  </si>
  <si>
    <t>Tanda</t>
  </si>
  <si>
    <t>Khushpreet kaur</t>
  </si>
  <si>
    <t>Sarwan singh</t>
  </si>
  <si>
    <t>Devinder kaur</t>
  </si>
  <si>
    <t>pannukhush@icloud.com</t>
  </si>
  <si>
    <t>B Block Friends Avenue , Palah Sahib Road , Airport Road , Amritsar</t>
  </si>
  <si>
    <t>Femal</t>
  </si>
  <si>
    <t>Ripandeep Singh</t>
  </si>
  <si>
    <t>Nirmal Singh</t>
  </si>
  <si>
    <t>ripankamboj03@gmail.com</t>
  </si>
  <si>
    <t>House no.573/5, Gali Kamboj, Chowk Lachmansar</t>
  </si>
  <si>
    <t>Aditi</t>
  </si>
  <si>
    <t>Dheeraj Sharma</t>
  </si>
  <si>
    <t>additiisharma1@gmail.com</t>
  </si>
  <si>
    <t>H.NO 209, HEAVEN CITY,
 MANAWALA, G.T Road, Amritsar</t>
  </si>
  <si>
    <t>8951 9337 5406</t>
  </si>
  <si>
    <t>Sushmeet kaur</t>
  </si>
  <si>
    <t>S.Daljit singh</t>
  </si>
  <si>
    <t>Ranjit kaur</t>
  </si>
  <si>
    <t>Sushmeetkaursushmeet@gmail.com</t>
  </si>
  <si>
    <t>H no. 150, Pir baba kikri wali gali, Vaishno colony , naraingarh 
 Amritsar</t>
  </si>
  <si>
    <t>B-ve</t>
  </si>
  <si>
    <t>Anureet Kaur</t>
  </si>
  <si>
    <t>kauranureet1818@gmail.com</t>
  </si>
  <si>
    <t>Dhirekot, PO: Bhangwan, DIST: Amritsar</t>
  </si>
  <si>
    <t>Mokshika</t>
  </si>
  <si>
    <t>Varinder pal Singh</t>
  </si>
  <si>
    <t>Mokshikasinghmissan@gmail.com</t>
  </si>
  <si>
    <t>92, baba deep singh colony</t>
  </si>
  <si>
    <t>Samridhi Sharma</t>
  </si>
  <si>
    <t>Deepak Sharma</t>
  </si>
  <si>
    <t>samridhi4774@gmail.com</t>
  </si>
  <si>
    <t>house no/5,New ranjit pura opposite reliance fresh,chheharta Amritsar</t>
  </si>
  <si>
    <t>Manjot kaur</t>
  </si>
  <si>
    <t>Sandeep Singh</t>
  </si>
  <si>
    <t>manjotkaurnagi805@gmail.com</t>
  </si>
  <si>
    <t>Indre colony verka</t>
  </si>
  <si>
    <t>A' postive</t>
  </si>
  <si>
    <t>Davneet kaur</t>
  </si>
  <si>
    <t>Jaskaran singh</t>
  </si>
  <si>
    <t>98729 46535</t>
  </si>
  <si>
    <t>davneetk05@icloud.com</t>
  </si>
  <si>
    <t>Village:Bharana , ferozpur , Punjab</t>
  </si>
  <si>
    <t>Ferozpur</t>
  </si>
  <si>
    <t>Yatin Chaudhary</t>
  </si>
  <si>
    <t>Ashwani Kumar</t>
  </si>
  <si>
    <t>chaudharyyatin9988@gmail.com</t>
  </si>
  <si>
    <t>H.no-563,ward no-11, hardochanni road prem nagar, gurdaspur</t>
  </si>
  <si>
    <t>Himmat Singh Malhi</t>
  </si>
  <si>
    <t>Kulwinder Singh</t>
  </si>
  <si>
    <t>Pawandeep Kaur</t>
  </si>
  <si>
    <t>himmatsingh2277@gmail.com</t>
  </si>
  <si>
    <t>C/O: Kulwinder Singh Malhi,KHABBE DOGRAN, PO: Khabbedogran, DIST: Tarn Taran,Punjab - 143401</t>
  </si>
  <si>
    <t>LAKHWINDER KAUR</t>
  </si>
  <si>
    <t>gillshub41@gmail.com</t>
  </si>
  <si>
    <t>VILLAGE KAD GILL , TARN TARAN</t>
  </si>
  <si>
    <t>‘B’ POSITIVE</t>
  </si>
  <si>
    <t>Sobha Singh</t>
  </si>
  <si>
    <t>2025.ALC/A76</t>
  </si>
  <si>
    <t>parneetsaddar@gmail.com</t>
  </si>
  <si>
    <t>Malha Rahima Ke Uttar,P.O: Chhanga Khurd, DIST: Ferozepur</t>
  </si>
  <si>
    <t>Schedule Caste</t>
  </si>
  <si>
    <t>Simranpreet kaur</t>
  </si>
  <si>
    <t>Karamjit Singh</t>
  </si>
  <si>
    <t>Narinder kaur</t>
  </si>
  <si>
    <t>simranp1556@gmail.com</t>
  </si>
  <si>
    <t>Village riali khurd po raliali kalan ,raliali khurd, PO:Aliwal, Dist: Gurdaspur,punjab-143507</t>
  </si>
  <si>
    <t>Schedule caste</t>
  </si>
  <si>
    <t>Sheilpreet kaur</t>
  </si>
  <si>
    <t>Baljit Singh</t>
  </si>
  <si>
    <t>Kawaljit kaur</t>
  </si>
  <si>
    <t>sheilpreetkaur233@gmail.com</t>
  </si>
  <si>
    <t>DBN Road Hassanpura,batala</t>
  </si>
  <si>
    <t>6864 1823 9177</t>
  </si>
  <si>
    <t>Kanwaldeep kaur</t>
  </si>
  <si>
    <t>angrejab5@gmail.com</t>
  </si>
  <si>
    <t>Baba jivan singh, bhikhiwind, Tarn taran, punjab</t>
  </si>
  <si>
    <t>Ekampreet kaur</t>
  </si>
  <si>
    <t>Jarnail singh</t>
  </si>
  <si>
    <t>Jasvir kaur</t>
  </si>
  <si>
    <t>ekampreetkaur487@gmail.com</t>
  </si>
  <si>
    <t>Gaggarwal</t>
  </si>
  <si>
    <t>Khamanon</t>
  </si>
  <si>
    <t>Mamta kaur</t>
  </si>
  <si>
    <t>Jaspal singh</t>
  </si>
  <si>
    <t>98156 51378</t>
  </si>
  <si>
    <t>99143 58569</t>
  </si>
  <si>
    <t>mamtagill@gmail.com</t>
  </si>
  <si>
    <t>Teh.zira, village chohla, Ferozpur,Malloke, punjab</t>
  </si>
  <si>
    <t>female</t>
  </si>
  <si>
    <t>Barinder singh</t>
  </si>
  <si>
    <t>81468 73368</t>
  </si>
  <si>
    <t>simranhundal884@gmail.com</t>
  </si>
  <si>
    <t>Village shafipur , tehsil &amp; District amritsar , khabe dogran , tarn taran , punjab</t>
  </si>
  <si>
    <t>Harshpreet Kaur</t>
  </si>
  <si>
    <t>Charanjit Singh</t>
  </si>
  <si>
    <t>harshbhullar151@gmail.com</t>
  </si>
  <si>
    <t>Rurewal,Ramdass, Amritsar,Anjala, Punjab,143603</t>
  </si>
  <si>
    <t>Snehpreet Kaur</t>
  </si>
  <si>
    <t>snehkaur637@gmail.com</t>
  </si>
  <si>
    <t>Bhorchhi rajputan, Bhorchhi rajputan, Amritsar, Punjab</t>
  </si>
  <si>
    <t>Aryan</t>
  </si>
  <si>
    <t>Naresh kumar</t>
  </si>
  <si>
    <t>aryanlakhanpal27@gmail.com</t>
  </si>
  <si>
    <t>HOUSE NO - 55, Gali No 3 Sultanwind Road, Kapoor Nagar, Amritsar -I, Amritsar, Amritsar, Punjab, 143001</t>
  </si>
  <si>
    <t>Palak</t>
  </si>
  <si>
    <t>Satnam Singh</t>
  </si>
  <si>
    <t>2025.ALC/A. 7</t>
  </si>
  <si>
    <t>kjas81735@gmail.com</t>
  </si>
  <si>
    <t>Manga sarai Amritsar Punjab</t>
  </si>
  <si>
    <t>Sidhi Joshi</t>
  </si>
  <si>
    <t>Radha raman</t>
  </si>
  <si>
    <t>Sidhijoshi66@gmail.com</t>
  </si>
  <si>
    <t>5400, Gaushala Road,Jandiala guru, Amritsar</t>
  </si>
  <si>
    <t>2794 3456 1896</t>
  </si>
  <si>
    <t>Manpreet Kaur</t>
  </si>
  <si>
    <t>Manjeet Singh</t>
  </si>
  <si>
    <t>6284-627206</t>
  </si>
  <si>
    <t>Kaurmanpreetbkw07@gamil.com</t>
  </si>
  <si>
    <t>Kakkar mahalla, Bhikhiwind, Tarn-Taran</t>
  </si>
  <si>
    <t>A(Negative)</t>
  </si>
  <si>
    <t>Akashdeep Singh</t>
  </si>
  <si>
    <t>Sulakhan Singh</t>
  </si>
  <si>
    <t>akashgillhere0@gmail.com</t>
  </si>
  <si>
    <t>SAINSRA PATI RAMPURA, Ajnala, Ajnala, Amritsar, Punjab, 143102</t>
  </si>
  <si>
    <t>Kiranbir kaur</t>
  </si>
  <si>
    <t>Mangal singh</t>
  </si>
  <si>
    <t>Kiransandhu99281@gmail.com</t>
  </si>
  <si>
    <t>Kalsian khurd,khalra, Tarn taran, punjab</t>
  </si>
  <si>
    <t>Husanpreet kaur</t>
  </si>
  <si>
    <t>Manga singh</t>
  </si>
  <si>
    <t>husanpreet96446@gmail.com</t>
  </si>
  <si>
    <t>Dharam kot bagga</t>
  </si>
  <si>
    <t>Navdeep singh</t>
  </si>
  <si>
    <t>Manjinder singh</t>
  </si>
  <si>
    <t>Inderjeet kaur</t>
  </si>
  <si>
    <t>Navdeepsingh905665@gmail.com</t>
  </si>
  <si>
    <t>H no 38,east end estate,near sant avenue GT raod Amritsar</t>
  </si>
  <si>
    <t>Satnam singh</t>
  </si>
  <si>
    <t>Surjeet kaur</t>
  </si>
  <si>
    <t>nitarani95660@gmail.com</t>
  </si>
  <si>
    <t>Kalu Arain hithar, PO: chhanga khurd,DIST: Firozpur</t>
  </si>
  <si>
    <t>Firozpur</t>
  </si>
  <si>
    <t>Sunali</t>
  </si>
  <si>
    <t>Balwinder Singh</t>
  </si>
  <si>
    <t>sunalilalotra01@gmail.com</t>
  </si>
  <si>
    <t>00,Gajju Khalsa ,Baknaur, pathankot punjab,143534</t>
  </si>
  <si>
    <t>Hargun kaur mangat</t>
  </si>
  <si>
    <t>Jagjit singh</t>
  </si>
  <si>
    <t>Ramanpreet kaur</t>
  </si>
  <si>
    <t>kaurhargun18551@gmail.com</t>
  </si>
  <si>
    <t>House no 214 sardar avenue majitha road tung bala gate</t>
  </si>
  <si>
    <t>ABpositive</t>
  </si>
  <si>
    <t>Mehakdeep kaur</t>
  </si>
  <si>
    <t>Sahib Singh</t>
  </si>
  <si>
    <t>Anu kaur</t>
  </si>
  <si>
    <t>Mehakrandhwa992@gmail.com</t>
  </si>
  <si>
    <t>Village Thathgarh Taran taran punjab</t>
  </si>
  <si>
    <t>Tarn-taran</t>
  </si>
  <si>
    <t>Danish Gill</t>
  </si>
  <si>
    <t>Naresh Gill</t>
  </si>
  <si>
    <t>Danishgill8907@gmail.com</t>
  </si>
  <si>
    <t>C-5,goldern avenue</t>
  </si>
  <si>
    <t>Mannat Khaira</t>
  </si>
  <si>
    <t>Kamaljit Singh</t>
  </si>
  <si>
    <t>kamalkhaira100@gmail.com</t>
  </si>
  <si>
    <t>D/O: Kamaljit Singh,Sher Singhwala, PO: Sher Singh wala, DIST: Kapurthala,
 Punjab - 144622</t>
  </si>
  <si>
    <t>Navdeep</t>
  </si>
  <si>
    <t>Vipan Kumar</t>
  </si>
  <si>
    <t>navarmaan777@gmail.com</t>
  </si>
  <si>
    <t>2438, 4, guru nanak pura,
 Amritsar -I, Amritsar, Punjab - 143001</t>
  </si>
  <si>
    <t>5984 8088 5063</t>
  </si>
  <si>
    <t>Simran kaur</t>
  </si>
  <si>
    <t>Ranjit singh</t>
  </si>
  <si>
    <t>simranchohan2025@gmail.com</t>
  </si>
  <si>
    <t>v.p.o. Chohan, Teh &amp; Distt. Amritsar</t>
  </si>
  <si>
    <t>o+</t>
  </si>
  <si>
    <t>Nidhi</t>
  </si>
  <si>
    <t>Alankar</t>
  </si>
  <si>
    <t>Rachna</t>
  </si>
  <si>
    <t>N3923154@gmail.com</t>
  </si>
  <si>
    <t>Arora Rasta Sultanpur Lodhi Kapurthala Sultanpur Lodhi Punjab</t>
  </si>
  <si>
    <t>Jaspreet Kaur</t>
  </si>
  <si>
    <t>Sukhdev Singh</t>
  </si>
  <si>
    <t>jassahota901@gmail.com</t>
  </si>
  <si>
    <t>V.p.o lalpur Tarn Taran</t>
  </si>
  <si>
    <t>khushi sareen</t>
  </si>
  <si>
    <t>vishal sareen</t>
  </si>
  <si>
    <t>neetu sareen</t>
  </si>
  <si>
    <t>sareenkhushi7@gmail.com</t>
  </si>
  <si>
    <t>1894gali bagh vali quilla bhangian amritsar</t>
  </si>
  <si>
    <t>Hinduism</t>
  </si>
  <si>
    <t>Manwaris Singh</t>
  </si>
  <si>
    <t>Ranjit Singh</t>
  </si>
  <si>
    <t>dhillonmanwaris@gmail.com</t>
  </si>
  <si>
    <t>Lakhuwal,lakhuwal,lakhuwal,po:lakhuwal,dist amritsar</t>
  </si>
  <si>
    <t>B postive</t>
  </si>
  <si>
    <t>Sumandeep kaur</t>
  </si>
  <si>
    <t>Mahinder singh</t>
  </si>
  <si>
    <t>sumandeepkaur1234lawyer@gmail.com</t>
  </si>
  <si>
    <t>village tong, taung,PO: Rayya,Dist: Amritsar</t>
  </si>
  <si>
    <t>B -positive</t>
  </si>
  <si>
    <t>Jasmeen kaur</t>
  </si>
  <si>
    <t>Sukhbir Singh</t>
  </si>
  <si>
    <t>jassjasmeen19@gmail.com</t>
  </si>
  <si>
    <t>Kad Gill District Tarn Taran</t>
  </si>
  <si>
    <t>B (positive)</t>
  </si>
  <si>
    <t>Jasmin kaur</t>
  </si>
  <si>
    <t>Gurmukh Singh</t>
  </si>
  <si>
    <t>jasminjasminkaur31@gmail.com</t>
  </si>
  <si>
    <t>Main Road GaliNo 6, Radha Krishna colony Bhagtanwala Amritsar</t>
  </si>
  <si>
    <t>Pawandeep Singh</t>
  </si>
  <si>
    <t>Baljinder Singh</t>
  </si>
  <si>
    <t>pawandeep0622@gmail.com</t>
  </si>
  <si>
    <t>Bhikhiwind, Tarn Taran</t>
  </si>
  <si>
    <t>Gurbani kaur</t>
  </si>
  <si>
    <t>Prabhsharanjeet Singh gill</t>
  </si>
  <si>
    <t>Harpreet kaur gill</t>
  </si>
  <si>
    <t>2025.ALC/A.88</t>
  </si>
  <si>
    <t>78140 02034</t>
  </si>
  <si>
    <t>gillgurbani2006@gmail.com</t>
  </si>
  <si>
    <t>16, street no.3, model town , Amritsar-1 , amritsar , Jandiala guru.</t>
  </si>
  <si>
    <t>Jandiala guru Amritsar</t>
  </si>
  <si>
    <t>Ajay Pal Singh Sandhu</t>
  </si>
  <si>
    <t>S.Harkewal singh sandhu</t>
  </si>
  <si>
    <t>Rajneet Kaur Sandhu</t>
  </si>
  <si>
    <t>ajaypalsinghsandhu008@gmail.com</t>
  </si>
  <si>
    <t>Opp.Focal point allowal ,Batala</t>
  </si>
  <si>
    <t>Amrozdeep Kaur</t>
  </si>
  <si>
    <t>Daljinder Singh</t>
  </si>
  <si>
    <t>rozybhullar90@gmail.com</t>
  </si>
  <si>
    <t>Baba Bakala, Baba Bakala,Amritsar</t>
  </si>
  <si>
    <t>Divyanshi Saini</t>
  </si>
  <si>
    <t>Dharam pal</t>
  </si>
  <si>
    <t>2025.ALC/A90</t>
  </si>
  <si>
    <t>divyanshi8847@gmail.com</t>
  </si>
  <si>
    <t>H.N. 254, Bajri company college road pathankot, Punjab.</t>
  </si>
  <si>
    <t>Harmanpreet Kaur</t>
  </si>
  <si>
    <t>Jaswinder Singh</t>
  </si>
  <si>
    <t>2025.ALC/.40</t>
  </si>
  <si>
    <t>hk3418978@gmail.com</t>
  </si>
  <si>
    <t>Doctor avenue gali no 2 near ITBP camp</t>
  </si>
  <si>
    <t>Gurshanpreet Singh</t>
  </si>
  <si>
    <t>Waryam singh</t>
  </si>
  <si>
    <t>sgurshanpreet753@gmail.com</t>
  </si>
  <si>
    <t>Gali Guru Har Rai Public School wali , Jindiala Road , Tarn Taran</t>
  </si>
  <si>
    <t>Baljit singh</t>
  </si>
  <si>
    <t>Baljinder kaur</t>
  </si>
  <si>
    <t>husanmohaar@gmail.com</t>
  </si>
  <si>
    <t>Othian, Amritsar, punjab</t>
  </si>
  <si>
    <t>Harleen Kaur</t>
  </si>
  <si>
    <t>Manjit Singh</t>
  </si>
  <si>
    <t>2025.ALC/A.92</t>
  </si>
  <si>
    <t>harlxxn07@gmail.com</t>
  </si>
  <si>
    <t>Vpo. Mianwind dis. Tarn Taran teh.khadoor sahib</t>
  </si>
  <si>
    <t>Jawahar singh</t>
  </si>
  <si>
    <t>2025.ALC/A.58</t>
  </si>
  <si>
    <t>sukhsinghramgarhia30@gmail.com</t>
  </si>
  <si>
    <t>Village:Kuri WALLAH, VTC: Kang, Post Office: Kang, District: Tarn Taran, Sub District: Khadur Sahib, State: Punjab, PIN Code: 143406</t>
  </si>
  <si>
    <t>Gurleen Kaur</t>
  </si>
  <si>
    <t>Shamsher Singh</t>
  </si>
  <si>
    <t>2025. ALC/ A.93</t>
  </si>
  <si>
    <t>gurleenhundal065@email.com</t>
  </si>
  <si>
    <t>Thathian, Thathian,PO; Bundala Dist Amritsar</t>
  </si>
  <si>
    <t>Sahil</t>
  </si>
  <si>
    <t>Surinder kumar</t>
  </si>
  <si>
    <t>98783 59645</t>
  </si>
  <si>
    <t>sahilmehta124354@gmail.com</t>
  </si>
  <si>
    <t>Jandiala road fatak, tarn taran</t>
  </si>
  <si>
    <t>Punajb</t>
  </si>
  <si>
    <t>Baldeep singh</t>
  </si>
  <si>
    <t>Palwinder singh</t>
  </si>
  <si>
    <t>Manvinder kaur</t>
  </si>
  <si>
    <t>baldeepsinghwaliaprincewalia@gmail.com</t>
  </si>
  <si>
    <t>Fatehabad</t>
  </si>
  <si>
    <t>Mahima</t>
  </si>
  <si>
    <t>Ajay kumar</t>
  </si>
  <si>
    <t>mahima83269@gmail.com</t>
  </si>
  <si>
    <t>Plot no .465 New medical enclave , Amritsar</t>
  </si>
  <si>
    <t>Ansh</t>
  </si>
  <si>
    <t>aroraansh443@gmail.com</t>
  </si>
  <si>
    <t>88 feet road ,gali gurukul school wali , opp. Gurukul school ,laxmi vihar, majitha road ,Amritsar punjab 143001</t>
  </si>
  <si>
    <t>Nirmal singh</t>
  </si>
  <si>
    <t>Parneet kaur</t>
  </si>
  <si>
    <t>harmanlahoria447@gmail.com</t>
  </si>
  <si>
    <t>Shaheed Udham singh chowk ( jandiala guru )</t>
  </si>
  <si>
    <t>jandiala guru</t>
  </si>
  <si>
    <t>male</t>
  </si>
  <si>
    <t>Jasleen kaur</t>
  </si>
  <si>
    <t>Harjinder Singh</t>
  </si>
  <si>
    <t>Kaurjaisleen670@gmail.com</t>
  </si>
  <si>
    <t>Nangal Guru, Amritsar, Punjab</t>
  </si>
  <si>
    <t>9245 4387 3042</t>
  </si>
  <si>
    <t>Surjit Singh</t>
  </si>
  <si>
    <t>Parmjeet kaur</t>
  </si>
  <si>
    <t>man75preet75kaur@gmail.com</t>
  </si>
  <si>
    <t>Khabbe rajputan</t>
  </si>
  <si>
    <t>Mehakpreet Kaur</t>
  </si>
  <si>
    <t>Gurpreet Singh</t>
  </si>
  <si>
    <t>Charanjit kaur</t>
  </si>
  <si>
    <t>pawarmehak074@gmail.com</t>
  </si>
  <si>
    <t>House no -681 , phase -2 , Goindwal Sahib , Tarn taran</t>
  </si>
  <si>
    <t>5330 8404 5276</t>
  </si>
  <si>
    <t>Gurdarshan Singh</t>
  </si>
  <si>
    <t>mehak.bambotra@gmail.com</t>
  </si>
  <si>
    <t>V.P.O THARU , Tarn Taran</t>
  </si>
  <si>
    <t>Harry</t>
  </si>
  <si>
    <t>Vijay</t>
  </si>
  <si>
    <t>Amarjit</t>
  </si>
  <si>
    <t>Harrysidhu8360@gmail.com</t>
  </si>
  <si>
    <t>Gali number 7 , subash colony, 88foot road, mustafabad batala road, Amritsar</t>
  </si>
  <si>
    <t>Mehak</t>
  </si>
  <si>
    <t>Omkar Singh</t>
  </si>
  <si>
    <t>Simranjeet Kaur</t>
  </si>
  <si>
    <t>mehak.hakwan@gmail.com</t>
  </si>
  <si>
    <t>VILLAGE CHAK GHUBAI URAF TARAN WALI , Mamdot Uttar , Firozpur</t>
  </si>
  <si>
    <t>Vattanpreet kaur</t>
  </si>
  <si>
    <t>Palwinder Singh</t>
  </si>
  <si>
    <t>kaurvattanpreet@gmail.com</t>
  </si>
  <si>
    <t>Muglani , PO: Khadur sahib , DISTT: tarn taran</t>
  </si>
  <si>
    <t>Angadbir Singh</t>
  </si>
  <si>
    <t>Harmeet Singh</t>
  </si>
  <si>
    <t>singhangadbir397@gmail.com</t>
  </si>
  <si>
    <t>297,Partap avenue opposite mall of Amritsar</t>
  </si>
  <si>
    <t>2601 8378 2262</t>
  </si>
  <si>
    <t>Sukhsirjan singh</t>
  </si>
  <si>
    <t>ssukhsirjan@gmail.com</t>
  </si>
  <si>
    <t>V.P.O. Bhalojala tehsil- Khadoor Sahib district- Tarn Taran</t>
  </si>
  <si>
    <t>Bhalojala</t>
  </si>
  <si>
    <t>7321 5858 0016</t>
  </si>
  <si>
    <t>Lovish soni</t>
  </si>
  <si>
    <t>Ramesh soni</t>
  </si>
  <si>
    <t>Sonia soni</t>
  </si>
  <si>
    <t>lavish67890lav@gmail.com</t>
  </si>
  <si>
    <t>Albert road near canal office house no 299</t>
  </si>
  <si>
    <t>7371 9806 2714</t>
  </si>
  <si>
    <t>Mannatdeep kaur</t>
  </si>
  <si>
    <t>Hardawinder singh</t>
  </si>
  <si>
    <t>Sharanjeet kaur</t>
  </si>
  <si>
    <t>deepmannat472@gmail.com</t>
  </si>
  <si>
    <t>Mohlla numberdaran da, fatehabad, Fatehabad,PO:Fatehabad, DIST:Tarn Taran</t>
  </si>
  <si>
    <t>4973 5335 4057</t>
  </si>
  <si>
    <t>Sajan arora</t>
  </si>
  <si>
    <t>Prem arora</t>
  </si>
  <si>
    <t>Pooja arora</t>
  </si>
  <si>
    <t>2025.ALC/A.65</t>
  </si>
  <si>
    <t>arorasajan856@gmail.com</t>
  </si>
  <si>
    <t>House no 151 street no 3 Sultanwind road Gobind nagar Mandir wala bazar amritsar</t>
  </si>
  <si>
    <t>A positive</t>
  </si>
  <si>
    <t>Arshdeep Kaur</t>
  </si>
  <si>
    <t>Prabhjot Singh</t>
  </si>
  <si>
    <t>arshdeepkaursnotry@gmail.com</t>
  </si>
  <si>
    <t>Ward no.3, gali prota wali, Rajasansi</t>
  </si>
  <si>
    <t>Shikh</t>
  </si>
  <si>
    <t>RAJDEEP KAUR</t>
  </si>
  <si>
    <t>86999 89442</t>
  </si>
  <si>
    <t>gillshubh2332@gmail.com</t>
  </si>
  <si>
    <t>V.P.O DHOTIAN</t>
  </si>
  <si>
    <t>8355 5226 8852</t>
  </si>
  <si>
    <t>Mahir Kohli</t>
  </si>
  <si>
    <t>Rajesh Kohli</t>
  </si>
  <si>
    <t>kohlimahir2006@gmail.com</t>
  </si>
  <si>
    <t>H NO.1417, GALI NO 5, SUNDER NAGAR KOT KHALSA, Amritsar -1, Amritsar, Punjab, 143001</t>
  </si>
  <si>
    <t>A-VE (A Negative)</t>
  </si>
  <si>
    <t>Shubhpreet singh</t>
  </si>
  <si>
    <t>shubhsingh94072@gmail.com</t>
  </si>
  <si>
    <t>Kotla bathungarh</t>
  </si>
  <si>
    <t>Zenia singh</t>
  </si>
  <si>
    <t>Panchham singh</t>
  </si>
  <si>
    <t>zeniasinghmatharu@gmail.com</t>
  </si>
  <si>
    <t>383 new pal avenue ram tirath road</t>
  </si>
  <si>
    <t>9359 3028 7214</t>
  </si>
  <si>
    <t>Shreya</t>
  </si>
  <si>
    <t>Bhupinder Singh</t>
  </si>
  <si>
    <t>shreya05008@gmail.com</t>
  </si>
  <si>
    <t>H.no.3854, Kashmirian gali</t>
  </si>
  <si>
    <t>Anureet Kaur Dhillon</t>
  </si>
  <si>
    <t>Rashpal singh</t>
  </si>
  <si>
    <t>2025.ALC/A.95</t>
  </si>
  <si>
    <t>anureetdhillon14@gmail.com</t>
  </si>
  <si>
    <t>Vpo dharar district amritsar</t>
  </si>
  <si>
    <t>AB positive</t>
  </si>
  <si>
    <t>PREETI KAJAL</t>
  </si>
  <si>
    <t>jaspreetsingh002008@icloud.com</t>
  </si>
  <si>
    <t>Guru Arjun Dev Nagar, House No. 425, Putlighar, Amritsar, 143001</t>
  </si>
  <si>
    <t>Khawaish</t>
  </si>
  <si>
    <t>Ravi Kumar</t>
  </si>
  <si>
    <t>khawaish082@gmail.com</t>
  </si>
  <si>
    <t>Barth sahib</t>
  </si>
  <si>
    <t>Pami</t>
  </si>
  <si>
    <t>pami25257@gmail.com</t>
  </si>
  <si>
    <t>H.no.2280, Sharifpura, near Bus stand</t>
  </si>
  <si>
    <t>kauramanpreet51947@gmail.com</t>
  </si>
  <si>
    <t>Near Sajjan petrol pump, baba deep sing nagar, Sarhali road, Tarn Taran</t>
  </si>
  <si>
    <t>0+ve</t>
  </si>
  <si>
    <t>Manjot Singh</t>
  </si>
  <si>
    <t>S.Sukhwinder singh</t>
  </si>
  <si>
    <t>dhunnamanjot0091@gmail.com</t>
  </si>
  <si>
    <t>110 new Kishan hot Islamabad near ab modal school</t>
  </si>
  <si>
    <t>4193 4691 4909</t>
  </si>
  <si>
    <t>Mukhwinder Singh</t>
  </si>
  <si>
    <t>Lakhwinder singh</t>
  </si>
  <si>
    <t>Lakhvir kaur</t>
  </si>
  <si>
    <t>mukhwinder045@gmail.com</t>
  </si>
  <si>
    <t>House no 793 muhalla, sekhupura jandiala guru</t>
  </si>
  <si>
    <t>Anureet kaur</t>
  </si>
  <si>
    <t>Harwinder Singh</t>
  </si>
  <si>
    <t>Kuldeep kaur</t>
  </si>
  <si>
    <t>anureetkaur130@gmail.com</t>
  </si>
  <si>
    <t>Nariangarh , post office , jabowal, dist. Asr</t>
  </si>
  <si>
    <t>Gurmet Spaldon</t>
  </si>
  <si>
    <t>Nawang Namgal</t>
  </si>
  <si>
    <t>spaldongurmet7@gmail.com</t>
  </si>
  <si>
    <t>Skara Yokma</t>
  </si>
  <si>
    <t>Leh</t>
  </si>
  <si>
    <t>UT Ladakh</t>
  </si>
  <si>
    <t>ST</t>
  </si>
  <si>
    <t>A Positive</t>
  </si>
  <si>
    <t>Buddhism</t>
  </si>
  <si>
    <t>Alia Asraf</t>
  </si>
  <si>
    <t>Asraf Alam</t>
  </si>
  <si>
    <t>aaliyaasraf32@gmail.com</t>
  </si>
  <si>
    <t>Line Maleria Office</t>
  </si>
  <si>
    <t>Kishanganj</t>
  </si>
  <si>
    <t>Bihar</t>
  </si>
  <si>
    <t>BC</t>
  </si>
  <si>
    <t>Islam</t>
  </si>
  <si>
    <t>Harman Kaur</t>
  </si>
  <si>
    <t>Sardar Gurmeet Singh</t>
  </si>
  <si>
    <t>harmankaur.cranberries@gmail.com</t>
  </si>
  <si>
    <t>Kachouri Gali Punjabi Colony, Patna City.</t>
  </si>
  <si>
    <t>Patna</t>
  </si>
  <si>
    <t>Yuvraj Singh Sandhu</t>
  </si>
  <si>
    <t>Gurcharan Singh Sandhu</t>
  </si>
  <si>
    <t>iyuvrajsingh14@gmail.com</t>
  </si>
  <si>
    <t>392 e block ranjit avenue</t>
  </si>
  <si>
    <t>Raghu Partap Singh</t>
  </si>
  <si>
    <t>Kuldeep Singh</t>
  </si>
  <si>
    <t>rpartapsingh73@gmail.com</t>
  </si>
  <si>
    <t>Amritsar Group of Colleges NH 3 Grand Trunk Road</t>
  </si>
  <si>
    <t>0+</t>
  </si>
  <si>
    <t>Kartik Bhatia</t>
  </si>
  <si>
    <t>Suresh Bhatia</t>
  </si>
  <si>
    <t>2025.DB/A.154</t>
  </si>
  <si>
    <t>kartik100bhatia@gmail.com</t>
  </si>
  <si>
    <t>Qilla mandi, batala, near govt girls high school</t>
  </si>
  <si>
    <t>MEENAKSHI</t>
  </si>
  <si>
    <t>radhikasharma2518@gmail.com</t>
  </si>
  <si>
    <t>HOUSE NO 2072, PALAH SAHIB ROAD, FRIENDS AVENUE, PO: AMRITSAR G.P.O</t>
  </si>
  <si>
    <t>HINDU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</si>
</sst>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-dd-yyyy"/>
    <numFmt numFmtId="165" formatCode="m/d/yyyy"/>
    <numFmt numFmtId="166" formatCode="d-mmm-yy"/>
    <numFmt numFmtId="167" formatCode="d-mmmm-yy"/>
    <numFmt numFmtId="168" formatCode="m-d-yyyy"/>
  </numFmts>
  <fonts count="2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rgb="FF000000"/>
      <name val="Calibri"/>
    </font>
    <font>
      <b/>
      <sz val="12.0"/>
      <color theme="1"/>
      <name val="Calibri"/>
    </font>
    <font>
      <color rgb="FF1155CC"/>
      <name val="Arial"/>
      <scheme val="minor"/>
    </font>
    <font>
      <sz val="11.0"/>
      <color rgb="FF000000"/>
      <name val="Calibri"/>
    </font>
    <font>
      <b/>
      <sz val="18.0"/>
      <color rgb="FF000000"/>
      <name val="Calibri"/>
    </font>
    <font>
      <sz val="12.0"/>
      <color rgb="FF000000"/>
      <name val="Calibri"/>
    </font>
    <font>
      <u/>
      <color rgb="FF0000FF"/>
    </font>
    <font>
      <u/>
      <sz val="11.0"/>
      <color rgb="FF0000FF"/>
      <name val="Calibri"/>
    </font>
    <font>
      <u/>
      <color rgb="FF1155CC"/>
    </font>
    <font>
      <u/>
      <sz val="11.0"/>
      <color rgb="FF0000FF"/>
      <name val="Calibri"/>
    </font>
    <font>
      <u/>
      <sz val="11.0"/>
      <color rgb="FF0000FF"/>
      <name val="Calibri"/>
    </font>
    <font>
      <sz val="12.0"/>
      <color rgb="FF1F1F1F"/>
      <name val="&quot;Google Sans&quot;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color rgb="FF000000"/>
      <name val="Arial"/>
    </font>
    <font>
      <sz val="11.0"/>
      <color rgb="FF000000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color rgb="FF000000"/>
      <name val="Calibri"/>
    </font>
    <font>
      <u/>
      <sz val="11.0"/>
      <color rgb="FF0000FF"/>
      <name val="Calibri"/>
    </font>
    <font>
      <color rgb="FF434343"/>
      <name val="Roboto"/>
    </font>
    <font>
      <color theme="1"/>
      <name val="Arial"/>
    </font>
    <font>
      <sz val="12.0"/>
      <color theme="1"/>
      <name val="Calibri"/>
    </font>
    <font>
      <u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5D9F1"/>
        <bgColor rgb="FFC5D9F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A9694"/>
        <bgColor rgb="FFDA9694"/>
      </patternFill>
    </fill>
    <fill>
      <patternFill patternType="solid">
        <fgColor rgb="FF92D050"/>
        <bgColor rgb="FF92D050"/>
      </patternFill>
    </fill>
    <fill>
      <patternFill patternType="solid">
        <fgColor rgb="FF538DD5"/>
        <bgColor rgb="FF538DD5"/>
      </patternFill>
    </fill>
    <fill>
      <patternFill patternType="solid">
        <fgColor rgb="FFC4BD97"/>
        <bgColor rgb="FFC4BD97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readingOrder="0" vertical="top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shrinkToFit="0" vertical="bottom" wrapText="0"/>
    </xf>
    <xf borderId="1" fillId="2" fontId="7" numFmtId="0" xfId="0" applyAlignment="1" applyBorder="1" applyFill="1" applyFont="1">
      <alignment horizontal="center" readingOrder="0" shrinkToFit="0" vertical="top" wrapText="0"/>
    </xf>
    <xf borderId="2" fillId="0" fontId="3" numFmtId="0" xfId="0" applyAlignment="1" applyBorder="1" applyFont="1">
      <alignment horizontal="left" readingOrder="0" vertical="top"/>
    </xf>
    <xf borderId="1" fillId="2" fontId="7" numFmtId="0" xfId="0" applyAlignment="1" applyBorder="1" applyFont="1">
      <alignment horizontal="left" readingOrder="0" shrinkToFit="0" vertical="top" wrapText="0"/>
    </xf>
    <xf borderId="1" fillId="0" fontId="8" numFmtId="0" xfId="0" applyAlignment="1" applyBorder="1" applyFont="1">
      <alignment horizontal="left" readingOrder="0" shrinkToFit="0" vertical="top" wrapText="0"/>
    </xf>
    <xf borderId="1" fillId="0" fontId="8" numFmtId="0" xfId="0" applyAlignment="1" applyBorder="1" applyFont="1">
      <alignment horizontal="left" readingOrder="0" vertical="top"/>
    </xf>
    <xf borderId="0" fillId="0" fontId="9" numFmtId="0" xfId="0" applyAlignment="1" applyFont="1">
      <alignment readingOrder="0"/>
    </xf>
    <xf borderId="1" fillId="0" fontId="10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right" readingOrder="0" shrinkToFit="0" vertical="bottom" wrapText="0"/>
    </xf>
    <xf borderId="1" fillId="3" fontId="6" numFmtId="0" xfId="0" applyAlignment="1" applyBorder="1" applyFill="1" applyFont="1">
      <alignment horizontal="left" readingOrder="0" shrinkToFit="0" vertical="bottom" wrapText="0"/>
    </xf>
    <xf borderId="1" fillId="4" fontId="6" numFmtId="0" xfId="0" applyAlignment="1" applyBorder="1" applyFill="1" applyFont="1">
      <alignment horizontal="left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3" fillId="0" fontId="8" numFmtId="0" xfId="0" applyAlignment="1" applyBorder="1" applyFont="1">
      <alignment horizontal="left" readingOrder="0" shrinkToFit="0" vertical="top" wrapText="0"/>
    </xf>
    <xf borderId="1" fillId="0" fontId="8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horizontal="left" readingOrder="0" vertical="bottom"/>
    </xf>
    <xf borderId="1" fillId="0" fontId="6" numFmtId="164" xfId="0" applyAlignment="1" applyBorder="1" applyFont="1" applyNumberFormat="1">
      <alignment horizontal="left" readingOrder="0" shrinkToFit="0" vertical="bottom" wrapText="0"/>
    </xf>
    <xf borderId="0" fillId="0" fontId="11" numFmtId="0" xfId="0" applyAlignment="1" applyFont="1">
      <alignment readingOrder="0"/>
    </xf>
    <xf borderId="1" fillId="0" fontId="8" numFmtId="0" xfId="0" applyAlignment="1" applyBorder="1" applyFont="1">
      <alignment horizontal="left" readingOrder="0" shrinkToFit="0" wrapText="0"/>
    </xf>
    <xf borderId="1" fillId="0" fontId="12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horizontal="left" shrinkToFit="0" vertical="bottom" wrapText="0"/>
    </xf>
    <xf borderId="0" fillId="5" fontId="14" numFmtId="0" xfId="0" applyAlignment="1" applyFill="1" applyFont="1">
      <alignment readingOrder="0"/>
    </xf>
    <xf quotePrefix="1" borderId="1" fillId="0" fontId="6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readingOrder="0" vertical="bottom"/>
    </xf>
    <xf borderId="1" fillId="0" fontId="6" numFmtId="165" xfId="0" applyAlignment="1" applyBorder="1" applyFont="1" applyNumberFormat="1">
      <alignment horizontal="left" readingOrder="0" shrinkToFit="0" vertical="bottom" wrapText="0"/>
    </xf>
    <xf borderId="4" fillId="0" fontId="15" numFmtId="0" xfId="0" applyAlignment="1" applyBorder="1" applyFont="1">
      <alignment readingOrder="0"/>
    </xf>
    <xf borderId="1" fillId="0" fontId="8" numFmtId="0" xfId="0" applyAlignment="1" applyBorder="1" applyFont="1">
      <alignment horizontal="left" shrinkToFit="0" vertical="bottom" wrapText="0"/>
    </xf>
    <xf borderId="3" fillId="0" fontId="8" numFmtId="0" xfId="0" applyAlignment="1" applyBorder="1" applyFont="1">
      <alignment horizontal="left" readingOrder="0" shrinkToFit="0" vertical="bottom" wrapText="0"/>
    </xf>
    <xf borderId="1" fillId="0" fontId="16" numFmtId="0" xfId="0" applyAlignment="1" applyBorder="1" applyFont="1">
      <alignment readingOrder="0"/>
    </xf>
    <xf borderId="5" fillId="0" fontId="8" numFmtId="0" xfId="0" applyAlignment="1" applyBorder="1" applyFont="1">
      <alignment horizontal="left" readingOrder="0" shrinkToFit="0" vertical="bottom" wrapText="0"/>
    </xf>
    <xf borderId="6" fillId="0" fontId="8" numFmtId="0" xfId="0" applyAlignment="1" applyBorder="1" applyFont="1">
      <alignment horizontal="left" shrinkToFit="0" vertical="bottom" wrapText="0"/>
    </xf>
    <xf borderId="6" fillId="0" fontId="8" numFmtId="0" xfId="0" applyAlignment="1" applyBorder="1" applyFont="1">
      <alignment horizontal="left" readingOrder="0" shrinkToFit="0" vertical="top" wrapText="0"/>
    </xf>
    <xf borderId="1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 shrinkToFit="0" vertical="bottom" wrapText="0"/>
    </xf>
    <xf borderId="1" fillId="0" fontId="17" numFmtId="0" xfId="0" applyAlignment="1" applyBorder="1" applyFont="1">
      <alignment horizontal="left" readingOrder="0"/>
    </xf>
    <xf borderId="4" fillId="0" fontId="17" numFmtId="0" xfId="0" applyAlignment="1" applyBorder="1" applyFont="1">
      <alignment readingOrder="0"/>
    </xf>
    <xf borderId="1" fillId="0" fontId="8" numFmtId="0" xfId="0" applyAlignment="1" applyBorder="1" applyFont="1">
      <alignment horizontal="left" shrinkToFit="0" wrapText="0"/>
    </xf>
    <xf borderId="3" fillId="0" fontId="8" numFmtId="0" xfId="0" applyAlignment="1" applyBorder="1" applyFont="1">
      <alignment readingOrder="0" shrinkToFit="0" vertical="bottom" wrapText="0"/>
    </xf>
    <xf borderId="1" fillId="0" fontId="8" numFmtId="166" xfId="0" applyAlignment="1" applyBorder="1" applyFont="1" applyNumberFormat="1">
      <alignment horizontal="left" readingOrder="0" shrinkToFit="0" wrapText="0"/>
    </xf>
    <xf borderId="1" fillId="6" fontId="6" numFmtId="0" xfId="0" applyAlignment="1" applyBorder="1" applyFill="1" applyFont="1">
      <alignment horizontal="left" readingOrder="0" shrinkToFit="0" vertical="bottom" wrapText="0"/>
    </xf>
    <xf borderId="4" fillId="0" fontId="6" numFmtId="0" xfId="0" applyAlignment="1" applyBorder="1" applyFont="1">
      <alignment horizontal="right" readingOrder="0" vertical="bottom"/>
    </xf>
    <xf borderId="3" fillId="0" fontId="6" numFmtId="0" xfId="0" applyAlignment="1" applyBorder="1" applyFont="1">
      <alignment horizontal="left" readingOrder="0" vertical="bottom"/>
    </xf>
    <xf borderId="3" fillId="0" fontId="6" numFmtId="0" xfId="0" applyAlignment="1" applyBorder="1" applyFont="1">
      <alignment readingOrder="0" vertical="bottom"/>
    </xf>
    <xf borderId="1" fillId="0" fontId="1" numFmtId="0" xfId="0" applyBorder="1" applyFont="1"/>
    <xf borderId="1" fillId="0" fontId="6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horizontal="left" readingOrder="0" vertical="bottom"/>
    </xf>
    <xf borderId="1" fillId="0" fontId="18" numFmtId="0" xfId="0" applyAlignment="1" applyBorder="1" applyFont="1">
      <alignment horizontal="left" vertical="bottom"/>
    </xf>
    <xf borderId="1" fillId="0" fontId="6" numFmtId="0" xfId="0" applyAlignment="1" applyBorder="1" applyFont="1">
      <alignment horizontal="left" shrinkToFit="0" vertical="bottom" wrapText="0"/>
    </xf>
    <xf borderId="1" fillId="0" fontId="8" numFmtId="165" xfId="0" applyAlignment="1" applyBorder="1" applyFont="1" applyNumberFormat="1">
      <alignment readingOrder="0" shrinkToFit="0" vertical="bottom" wrapText="0"/>
    </xf>
    <xf borderId="1" fillId="0" fontId="19" numFmtId="0" xfId="0" applyAlignment="1" applyBorder="1" applyFont="1">
      <alignment horizontal="left" readingOrder="0" vertical="bottom"/>
    </xf>
    <xf borderId="1" fillId="0" fontId="18" numFmtId="0" xfId="0" applyAlignment="1" applyBorder="1" applyFont="1">
      <alignment readingOrder="0" vertical="bottom"/>
    </xf>
    <xf borderId="1" fillId="0" fontId="20" numFmtId="0" xfId="0" applyAlignment="1" applyBorder="1" applyFont="1">
      <alignment horizontal="left" readingOrder="0" vertical="bottom"/>
    </xf>
    <xf borderId="1" fillId="0" fontId="18" numFmtId="0" xfId="0" applyAlignment="1" applyBorder="1" applyFont="1">
      <alignment horizontal="left" readingOrder="0" vertical="bottom"/>
    </xf>
    <xf borderId="5" fillId="0" fontId="6" numFmtId="0" xfId="0" applyAlignment="1" applyBorder="1" applyFont="1">
      <alignment readingOrder="0" shrinkToFit="0" vertical="bottom" wrapText="0"/>
    </xf>
    <xf borderId="6" fillId="0" fontId="8" numFmtId="0" xfId="0" applyAlignment="1" applyBorder="1" applyFont="1">
      <alignment readingOrder="0" shrinkToFit="0" vertical="bottom" wrapText="0"/>
    </xf>
    <xf borderId="1" fillId="0" fontId="18" numFmtId="0" xfId="0" applyAlignment="1" applyBorder="1" applyFont="1">
      <alignment vertical="bottom"/>
    </xf>
    <xf borderId="0" fillId="0" fontId="6" numFmtId="0" xfId="0" applyAlignment="1" applyFont="1">
      <alignment horizontal="left" shrinkToFit="0" vertical="bottom" wrapText="0"/>
    </xf>
    <xf borderId="1" fillId="0" fontId="8" numFmtId="0" xfId="0" applyAlignment="1" applyBorder="1" applyFont="1">
      <alignment horizontal="left" vertical="bottom"/>
    </xf>
    <xf borderId="1" fillId="0" fontId="8" numFmtId="0" xfId="0" applyAlignment="1" applyBorder="1" applyFont="1">
      <alignment horizontal="left" shrinkToFit="0" vertical="top" wrapText="0"/>
    </xf>
    <xf borderId="1" fillId="0" fontId="21" numFmtId="0" xfId="0" applyAlignment="1" applyBorder="1" applyFont="1">
      <alignment horizontal="left" vertical="bottom"/>
    </xf>
    <xf borderId="0" fillId="0" fontId="6" numFmtId="0" xfId="0" applyAlignment="1" applyFont="1">
      <alignment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7" fillId="0" fontId="6" numFmtId="166" xfId="0" applyAlignment="1" applyBorder="1" applyFont="1" applyNumberFormat="1">
      <alignment horizontal="left" readingOrder="0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7" fillId="0" fontId="6" numFmtId="0" xfId="0" applyAlignment="1" applyBorder="1" applyFont="1">
      <alignment horizontal="left" readingOrder="0" shrinkToFit="0" vertical="bottom" wrapText="0"/>
    </xf>
    <xf borderId="1" fillId="0" fontId="22" numFmtId="0" xfId="0" applyAlignment="1" applyBorder="1" applyFont="1">
      <alignment readingOrder="0"/>
    </xf>
    <xf borderId="0" fillId="0" fontId="6" numFmtId="0" xfId="0" applyAlignment="1" applyFont="1">
      <alignment readingOrder="0" shrinkToFit="0" vertical="bottom" wrapText="0"/>
    </xf>
    <xf borderId="3" fillId="0" fontId="6" numFmtId="0" xfId="0" applyAlignment="1" applyBorder="1" applyFont="1">
      <alignment shrinkToFit="0" vertical="bottom" wrapText="0"/>
    </xf>
    <xf borderId="1" fillId="0" fontId="22" numFmtId="166" xfId="0" applyAlignment="1" applyBorder="1" applyFont="1" applyNumberFormat="1">
      <alignment horizontal="right" readingOrder="0" shrinkToFit="0" vertical="bottom" wrapText="0"/>
    </xf>
    <xf borderId="1" fillId="0" fontId="22" numFmtId="0" xfId="0" applyAlignment="1" applyBorder="1" applyFont="1">
      <alignment shrinkToFit="0" vertical="bottom" wrapText="0"/>
    </xf>
    <xf borderId="3" fillId="0" fontId="8" numFmtId="0" xfId="0" applyAlignment="1" applyBorder="1" applyFont="1">
      <alignment shrinkToFit="0" vertical="bottom" wrapText="0"/>
    </xf>
    <xf borderId="1" fillId="0" fontId="22" numFmtId="167" xfId="0" applyAlignment="1" applyBorder="1" applyFont="1" applyNumberFormat="1">
      <alignment horizontal="right" readingOrder="0" shrinkToFit="0" vertical="bottom" wrapText="0"/>
    </xf>
    <xf borderId="1" fillId="0" fontId="23" numFmtId="0" xfId="0" applyAlignment="1" applyBorder="1" applyFont="1">
      <alignment readingOrder="0" shrinkToFit="0" vertical="bottom" wrapText="0"/>
    </xf>
    <xf borderId="1" fillId="0" fontId="22" numFmtId="165" xfId="0" applyAlignment="1" applyBorder="1" applyFont="1" applyNumberFormat="1">
      <alignment horizontal="right" readingOrder="0" shrinkToFit="0" vertical="bottom" wrapText="0"/>
    </xf>
    <xf borderId="1" fillId="0" fontId="6" numFmtId="11" xfId="0" applyAlignment="1" applyBorder="1" applyFont="1" applyNumberFormat="1">
      <alignment horizontal="left" readingOrder="0" shrinkToFit="0" vertical="bottom" wrapText="0"/>
    </xf>
    <xf borderId="1" fillId="0" fontId="6" numFmtId="168" xfId="0" applyAlignment="1" applyBorder="1" applyFont="1" applyNumberFormat="1">
      <alignment horizontal="left" readingOrder="0" shrinkToFit="0" vertical="bottom" wrapText="0"/>
    </xf>
    <xf borderId="1" fillId="7" fontId="6" numFmtId="0" xfId="0" applyAlignment="1" applyBorder="1" applyFill="1" applyFont="1">
      <alignment horizontal="left" readingOrder="0" shrinkToFit="0" vertical="bottom" wrapText="0"/>
    </xf>
    <xf borderId="1" fillId="8" fontId="6" numFmtId="0" xfId="0" applyAlignment="1" applyBorder="1" applyFill="1" applyFont="1">
      <alignment horizontal="left" readingOrder="0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quotePrefix="1" borderId="1" fillId="0" fontId="6" numFmtId="0" xfId="0" applyAlignment="1" applyBorder="1" applyFont="1">
      <alignment horizontal="center" readingOrder="0" shrinkToFit="0" vertical="bottom" wrapText="0"/>
    </xf>
    <xf borderId="1" fillId="9" fontId="6" numFmtId="0" xfId="0" applyAlignment="1" applyBorder="1" applyFill="1" applyFont="1">
      <alignment horizontal="left" readingOrder="0" shrinkToFit="0" vertical="bottom" wrapText="0"/>
    </xf>
    <xf borderId="1" fillId="5" fontId="24" numFmtId="0" xfId="0" applyAlignment="1" applyBorder="1" applyFont="1">
      <alignment horizontal="left" shrinkToFit="0" wrapText="0"/>
    </xf>
    <xf borderId="1" fillId="5" fontId="24" numFmtId="14" xfId="0" applyAlignment="1" applyBorder="1" applyFont="1" applyNumberFormat="1">
      <alignment horizontal="left" shrinkToFit="0" wrapText="0"/>
    </xf>
    <xf borderId="1" fillId="5" fontId="25" numFmtId="0" xfId="0" applyAlignment="1" applyBorder="1" applyFont="1">
      <alignment horizontal="left" readingOrder="0"/>
    </xf>
    <xf borderId="1" fillId="5" fontId="24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1" fillId="5" fontId="24" numFmtId="0" xfId="0" applyAlignment="1" applyBorder="1" applyFont="1">
      <alignment horizontal="center" shrinkToFit="0" wrapText="0"/>
    </xf>
    <xf borderId="1" fillId="10" fontId="24" numFmtId="0" xfId="0" applyAlignment="1" applyBorder="1" applyFill="1" applyFont="1">
      <alignment horizontal="left" shrinkToFit="0" wrapText="0"/>
    </xf>
    <xf borderId="1" fillId="10" fontId="24" numFmtId="14" xfId="0" applyAlignment="1" applyBorder="1" applyFont="1" applyNumberFormat="1">
      <alignment horizontal="left" shrinkToFit="0" wrapText="0"/>
    </xf>
    <xf borderId="1" fillId="10" fontId="25" numFmtId="0" xfId="0" applyAlignment="1" applyBorder="1" applyFont="1">
      <alignment horizontal="left" readingOrder="0"/>
    </xf>
    <xf borderId="1" fillId="10" fontId="24" numFmtId="0" xfId="0" applyAlignment="1" applyBorder="1" applyFont="1">
      <alignment horizontal="center" shrinkToFit="0" wrapText="0"/>
    </xf>
    <xf borderId="1" fillId="5" fontId="24" numFmtId="0" xfId="0" applyAlignment="1" applyBorder="1" applyFont="1">
      <alignment horizontal="left" shrinkToFit="0" wrapText="0"/>
    </xf>
    <xf borderId="1" fillId="10" fontId="25" numFmtId="0" xfId="0" applyAlignment="1" applyBorder="1" applyFont="1">
      <alignment horizontal="left"/>
    </xf>
    <xf borderId="1" fillId="5" fontId="25" numFmtId="0" xfId="0" applyAlignment="1" applyBorder="1" applyFont="1">
      <alignment horizontal="left"/>
    </xf>
    <xf borderId="1" fillId="10" fontId="24" numFmtId="0" xfId="0" applyAlignment="1" applyBorder="1" applyFont="1">
      <alignment horizontal="left" shrinkToFit="0" wrapText="0"/>
    </xf>
    <xf quotePrefix="1" borderId="1" fillId="5" fontId="24" numFmtId="0" xfId="0" applyAlignment="1" applyBorder="1" applyFont="1">
      <alignment horizontal="left" shrinkToFit="0" wrapText="0"/>
    </xf>
    <xf borderId="1" fillId="0" fontId="26" numFmtId="0" xfId="0" applyAlignment="1" applyBorder="1" applyFont="1">
      <alignment horizontal="left" readingOrder="0" vertical="bottom"/>
    </xf>
    <xf borderId="1" fillId="0" fontId="17" numFmtId="0" xfId="0" applyAlignment="1" applyBorder="1" applyFont="1">
      <alignment horizontal="left" readingOrder="0" shrinkToFit="0" vertical="bottom" wrapText="0"/>
    </xf>
    <xf borderId="1" fillId="0" fontId="27" numFmtId="0" xfId="0" applyAlignment="1" applyBorder="1" applyFont="1">
      <alignment horizontal="left" shrinkToFit="0" vertical="bottom" wrapText="0"/>
    </xf>
    <xf borderId="1" fillId="0" fontId="17" numFmtId="0" xfId="0" applyAlignment="1" applyBorder="1" applyFont="1">
      <alignment horizontal="left" shrinkToFit="0" vertical="bottom" wrapText="0"/>
    </xf>
    <xf borderId="0" fillId="0" fontId="1" numFmtId="0" xfId="0" applyFont="1"/>
    <xf borderId="1" fillId="0" fontId="17" numFmtId="164" xfId="0" applyAlignment="1" applyBorder="1" applyFont="1" applyNumberFormat="1">
      <alignment horizontal="left" readingOrder="0" shrinkToFit="0" vertical="bottom" wrapText="0"/>
    </xf>
    <xf quotePrefix="1" borderId="1" fillId="0" fontId="17" numFmtId="0" xfId="0" applyAlignment="1" applyBorder="1" applyFont="1">
      <alignment horizontal="left" readingOrder="0" shrinkToFit="0" vertical="bottom" wrapText="0"/>
    </xf>
    <xf borderId="1" fillId="11" fontId="6" numFmtId="0" xfId="0" applyAlignment="1" applyBorder="1" applyFill="1" applyFont="1">
      <alignment horizontal="right" readingOrder="0" shrinkToFit="0" vertical="bottom" wrapText="0"/>
    </xf>
    <xf borderId="1" fillId="5" fontId="18" numFmtId="0" xfId="0" applyAlignment="1" applyBorder="1" applyFont="1">
      <alignment horizontal="left" readingOrder="0" shrinkToFit="0" wrapText="0"/>
    </xf>
    <xf borderId="1" fillId="11" fontId="25" numFmtId="0" xfId="0" applyAlignment="1" applyBorder="1" applyFont="1">
      <alignment horizontal="left" readingOrder="0" shrinkToFit="0" wrapText="0"/>
    </xf>
    <xf borderId="1" fillId="11" fontId="25" numFmtId="165" xfId="0" applyAlignment="1" applyBorder="1" applyFont="1" applyNumberFormat="1">
      <alignment horizontal="left" readingOrder="0" shrinkToFit="0" wrapText="0"/>
    </xf>
    <xf borderId="0" fillId="11" fontId="1" numFmtId="0" xfId="0" applyFont="1"/>
    <xf borderId="1" fillId="11" fontId="25" numFmtId="0" xfId="0" applyAlignment="1" applyBorder="1" applyFont="1">
      <alignment horizontal="left" shrinkToFit="0" wrapText="0"/>
    </xf>
    <xf borderId="1" fillId="11" fontId="17" numFmtId="0" xfId="0" applyAlignment="1" applyBorder="1" applyFont="1">
      <alignment horizontal="left" shrinkToFit="0" vertical="bottom" wrapText="0"/>
    </xf>
    <xf borderId="1" fillId="5" fontId="25" numFmtId="0" xfId="0" applyAlignment="1" applyBorder="1" applyFont="1">
      <alignment horizontal="left" readingOrder="0" shrinkToFit="0" wrapText="0"/>
    </xf>
    <xf borderId="1" fillId="10" fontId="6" numFmtId="0" xfId="0" applyAlignment="1" applyBorder="1" applyFont="1">
      <alignment horizontal="left" readingOrder="0" shrinkToFit="0" vertical="bottom" wrapText="0"/>
    </xf>
    <xf borderId="1" fillId="10" fontId="18" numFmtId="0" xfId="0" applyAlignment="1" applyBorder="1" applyFont="1">
      <alignment horizontal="left" readingOrder="0" shrinkToFit="0" wrapText="0"/>
    </xf>
    <xf borderId="1" fillId="11" fontId="25" numFmtId="0" xfId="0" applyAlignment="1" applyBorder="1" applyFont="1">
      <alignment horizontal="left" shrinkToFit="0" wrapText="0"/>
    </xf>
    <xf borderId="1" fillId="11" fontId="17" numFmtId="0" xfId="0" applyAlignment="1" applyBorder="1" applyFont="1">
      <alignment horizontal="left" shrinkToFit="0" vertical="bottom" wrapText="0"/>
    </xf>
    <xf borderId="1" fillId="0" fontId="17" numFmtId="0" xfId="0" applyAlignment="1" applyBorder="1" applyFont="1">
      <alignment horizontal="left" shrinkToFit="0" vertical="bottom" wrapText="0"/>
    </xf>
    <xf borderId="1" fillId="10" fontId="25" numFmtId="0" xfId="0" applyAlignment="1" applyBorder="1" applyFont="1">
      <alignment horizontal="left" readingOrder="0" shrinkToFit="0" wrapText="0"/>
    </xf>
    <xf borderId="0" fillId="11" fontId="1" numFmtId="0" xfId="0" applyAlignment="1" applyFont="1">
      <alignment readingOrder="0"/>
    </xf>
    <xf borderId="0" fillId="5" fontId="6" numFmtId="0" xfId="0" applyAlignment="1" applyFont="1">
      <alignment horizontal="left" readingOrder="0" shrinkToFit="0" vertical="bottom" wrapText="0"/>
    </xf>
    <xf borderId="0" fillId="10" fontId="18" numFmtId="0" xfId="0" applyAlignment="1" applyFont="1">
      <alignment horizontal="right" readingOrder="0" shrinkToFit="0" wrapText="0"/>
    </xf>
    <xf borderId="0" fillId="11" fontId="25" numFmtId="0" xfId="0" applyAlignment="1" applyFont="1">
      <alignment readingOrder="0" shrinkToFit="0" wrapText="0"/>
    </xf>
    <xf borderId="0" fillId="11" fontId="25" numFmtId="0" xfId="0" applyAlignment="1" applyFont="1">
      <alignment horizontal="right" readingOrder="0" shrinkToFit="0" wrapText="0"/>
    </xf>
    <xf borderId="0" fillId="11" fontId="25" numFmtId="165" xfId="0" applyAlignment="1" applyFont="1" applyNumberFormat="1">
      <alignment horizontal="right" readingOrder="0" shrinkToFit="0" wrapText="0"/>
    </xf>
    <xf borderId="1" fillId="10" fontId="25" numFmtId="0" xfId="0" applyAlignment="1" applyBorder="1" applyFont="1">
      <alignment horizontal="left" shrinkToFit="0" wrapText="0"/>
    </xf>
    <xf borderId="0" fillId="10" fontId="6" numFmtId="0" xfId="0" applyAlignment="1" applyFont="1">
      <alignment readingOrder="0" shrinkToFit="0" vertical="bottom" wrapText="0"/>
    </xf>
    <xf borderId="0" fillId="10" fontId="6" numFmtId="0" xfId="0" applyAlignment="1" applyFont="1">
      <alignment horizontal="right" readingOrder="0" shrinkToFit="0" vertical="bottom" wrapText="0"/>
    </xf>
    <xf borderId="3" fillId="11" fontId="17" numFmtId="0" xfId="0" applyAlignment="1" applyBorder="1" applyFont="1">
      <alignment readingOrder="0" vertical="bottom"/>
    </xf>
    <xf borderId="1" fillId="11" fontId="17" numFmtId="0" xfId="0" applyAlignment="1" applyBorder="1" applyFont="1">
      <alignment readingOrder="0" vertical="bottom"/>
    </xf>
    <xf borderId="1" fillId="11" fontId="1" numFmtId="0" xfId="0" applyBorder="1" applyFont="1"/>
    <xf borderId="1" fillId="11" fontId="17" numFmtId="0" xfId="0" applyAlignment="1" applyBorder="1" applyFont="1">
      <alignment horizontal="right" readingOrder="0" vertical="bottom"/>
    </xf>
    <xf borderId="1" fillId="11" fontId="17" numFmtId="0" xfId="0" applyAlignment="1" applyBorder="1" applyFont="1">
      <alignment horizontal="left" readingOrder="0" vertical="bottom"/>
    </xf>
    <xf borderId="1" fillId="11" fontId="25" numFmtId="0" xfId="0" applyAlignment="1" applyBorder="1" applyFont="1">
      <alignment horizontal="left" vertical="bottom"/>
    </xf>
    <xf borderId="1" fillId="11" fontId="26" numFmtId="0" xfId="0" applyAlignment="1" applyBorder="1" applyFont="1">
      <alignment horizontal="left" readingOrder="0" vertical="bottom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280:AF308" displayName="Table_1" name="Table_1" id="1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principal@college.com" TargetMode="External"/><Relationship Id="rId2" Type="http://schemas.openxmlformats.org/officeDocument/2006/relationships/hyperlink" Target="mailto:vp@college.com" TargetMode="External"/><Relationship Id="rId3" Type="http://schemas.openxmlformats.org/officeDocument/2006/relationships/hyperlink" Target="mailto:faculty1@college.com" TargetMode="External"/><Relationship Id="rId4" Type="http://schemas.openxmlformats.org/officeDocument/2006/relationships/hyperlink" Target="mailto:registrar@college.com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mailto:scholarship@college.com" TargetMode="External"/><Relationship Id="rId9" Type="http://schemas.openxmlformats.org/officeDocument/2006/relationships/hyperlink" Target="mailto:scholarship@college.com" TargetMode="External"/><Relationship Id="rId5" Type="http://schemas.openxmlformats.org/officeDocument/2006/relationships/hyperlink" Target="mailto:library@college.com" TargetMode="External"/><Relationship Id="rId6" Type="http://schemas.openxmlformats.org/officeDocument/2006/relationships/hyperlink" Target="mailto:scholarship@college.com" TargetMode="External"/><Relationship Id="rId7" Type="http://schemas.openxmlformats.org/officeDocument/2006/relationships/hyperlink" Target="mailto:scholarship@college.com" TargetMode="External"/><Relationship Id="rId8" Type="http://schemas.openxmlformats.org/officeDocument/2006/relationships/hyperlink" Target="mailto:scholarship@college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mailto:manvi.alc@acetedu.in" TargetMode="External"/><Relationship Id="rId22" Type="http://schemas.openxmlformats.org/officeDocument/2006/relationships/hyperlink" Target="mailto:nitasha.alc@acetedu.in" TargetMode="External"/><Relationship Id="rId21" Type="http://schemas.openxmlformats.org/officeDocument/2006/relationships/hyperlink" Target="mailto:mahajan.nitasha1998@gmail.com" TargetMode="External"/><Relationship Id="rId24" Type="http://schemas.openxmlformats.org/officeDocument/2006/relationships/hyperlink" Target="mailto:udaybirsinghjammu@gmail.com" TargetMode="External"/><Relationship Id="rId23" Type="http://schemas.openxmlformats.org/officeDocument/2006/relationships/hyperlink" Target="mailto:Surindersinghmanan@gmail.com" TargetMode="External"/><Relationship Id="rId1" Type="http://schemas.openxmlformats.org/officeDocument/2006/relationships/hyperlink" Target="mailto:avonvaid@gmail.com" TargetMode="External"/><Relationship Id="rId2" Type="http://schemas.openxmlformats.org/officeDocument/2006/relationships/hyperlink" Target="mailto:principalalc@acetedu.in" TargetMode="External"/><Relationship Id="rId3" Type="http://schemas.openxmlformats.org/officeDocument/2006/relationships/hyperlink" Target="mailto:lehal.mk90@gmail.com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mailto:shivani.chojer@gmail.com" TargetMode="External"/><Relationship Id="rId26" Type="http://schemas.openxmlformats.org/officeDocument/2006/relationships/hyperlink" Target="mailto:jeewantahpa0010@gmail.com" TargetMode="External"/><Relationship Id="rId25" Type="http://schemas.openxmlformats.org/officeDocument/2006/relationships/hyperlink" Target="mailto:adminalc@acetedu.in" TargetMode="External"/><Relationship Id="rId28" Type="http://schemas.openxmlformats.org/officeDocument/2006/relationships/drawing" Target="../drawings/drawing4.xml"/><Relationship Id="rId27" Type="http://schemas.openxmlformats.org/officeDocument/2006/relationships/hyperlink" Target="mailto:jobanjohal147@gmail.com" TargetMode="External"/><Relationship Id="rId5" Type="http://schemas.openxmlformats.org/officeDocument/2006/relationships/hyperlink" Target="mailto:aman_batala15@yahoo.in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mailto:shefalibassi1997@gmail.com" TargetMode="External"/><Relationship Id="rId8" Type="http://schemas.openxmlformats.org/officeDocument/2006/relationships/hyperlink" Target="mailto:shefali.alc@acetedu.in" TargetMode="External"/><Relationship Id="rId11" Type="http://schemas.openxmlformats.org/officeDocument/2006/relationships/hyperlink" Target="mailto:savuu661@gmail.com" TargetMode="External"/><Relationship Id="rId10" Type="http://schemas.openxmlformats.org/officeDocument/2006/relationships/hyperlink" Target="mailto:shivani.alc@acetedu.in" TargetMode="External"/><Relationship Id="rId13" Type="http://schemas.openxmlformats.org/officeDocument/2006/relationships/hyperlink" Target="mailto:ankitajoshi238@gmail.com" TargetMode="External"/><Relationship Id="rId12" Type="http://schemas.openxmlformats.org/officeDocument/2006/relationships/hyperlink" Target="mailto:savita.alc@acetedu.in" TargetMode="External"/><Relationship Id="rId15" Type="http://schemas.openxmlformats.org/officeDocument/2006/relationships/hyperlink" Target="mailto:harmanjotbajwa777@gmail.com" TargetMode="External"/><Relationship Id="rId14" Type="http://schemas.openxmlformats.org/officeDocument/2006/relationships/hyperlink" Target="mailto:ankita.alc@acetedu.in" TargetMode="External"/><Relationship Id="rId17" Type="http://schemas.openxmlformats.org/officeDocument/2006/relationships/hyperlink" Target="mailto:Kiranarora599@gmail.com" TargetMode="External"/><Relationship Id="rId16" Type="http://schemas.openxmlformats.org/officeDocument/2006/relationships/hyperlink" Target="mailto:harmanjot.alc@acetedu.in" TargetMode="External"/><Relationship Id="rId19" Type="http://schemas.openxmlformats.org/officeDocument/2006/relationships/hyperlink" Target="mailto:manvibadyal07@gmail.com" TargetMode="External"/><Relationship Id="rId18" Type="http://schemas.openxmlformats.org/officeDocument/2006/relationships/hyperlink" Target="mailto:drkiran.alc@acetedu.in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9.63"/>
    <col customWidth="1" min="3" max="3" width="11.38"/>
    <col customWidth="1" min="4" max="4" width="16.38"/>
    <col customWidth="1" min="5" max="5" width="12.63"/>
    <col customWidth="1" min="6" max="6" width="18.25"/>
    <col customWidth="1" min="7" max="7" width="19.88"/>
    <col customWidth="1" min="8" max="8" width="21.25"/>
    <col customWidth="1" min="12" max="12" width="23.5"/>
    <col customWidth="1" min="13" max="13" width="29.88"/>
    <col customWidth="1" min="14" max="14" width="20.63"/>
    <col customWidth="1" min="16" max="16" width="33.63"/>
    <col customWidth="1" min="17" max="17" width="77.38"/>
    <col customWidth="1" min="18" max="18" width="24.0"/>
    <col customWidth="1" min="22" max="22" width="16.75"/>
    <col customWidth="1" min="24" max="24" width="19.0"/>
    <col customWidth="1" min="27" max="27" width="27.5"/>
    <col customWidth="1" min="28" max="28" width="26.63"/>
    <col customWidth="1" min="29" max="29" width="22.5"/>
    <col customWidth="1" min="30" max="30" width="23.13"/>
    <col customWidth="1" min="31" max="31" width="25.63"/>
    <col customWidth="1" min="32" max="32" width="21.63"/>
    <col customWidth="1" min="33" max="33" width="28.0"/>
    <col customWidth="1" min="34" max="34" width="25.0"/>
    <col customWidth="1" min="45" max="45" width="14.38"/>
  </cols>
  <sheetData>
    <row r="1">
      <c r="A1" s="8" t="s">
        <v>38</v>
      </c>
      <c r="B1" s="8" t="s">
        <v>42</v>
      </c>
      <c r="C1" s="8" t="s">
        <v>43</v>
      </c>
      <c r="D1" s="8" t="s">
        <v>45</v>
      </c>
      <c r="E1" s="10" t="s">
        <v>47</v>
      </c>
      <c r="F1" s="8" t="s">
        <v>49</v>
      </c>
      <c r="G1" s="8" t="s">
        <v>51</v>
      </c>
      <c r="H1" s="8" t="s">
        <v>54</v>
      </c>
      <c r="I1" s="8" t="s">
        <v>29</v>
      </c>
      <c r="J1" s="8" t="s">
        <v>55</v>
      </c>
      <c r="K1" s="8" t="s">
        <v>7</v>
      </c>
      <c r="L1" s="8" t="s">
        <v>56</v>
      </c>
      <c r="M1" s="8" t="s">
        <v>57</v>
      </c>
      <c r="N1" s="10" t="s">
        <v>59</v>
      </c>
      <c r="O1" s="10" t="s">
        <v>60</v>
      </c>
      <c r="P1" s="8" t="s">
        <v>62</v>
      </c>
      <c r="Q1" s="8" t="s">
        <v>64</v>
      </c>
      <c r="R1" s="8" t="s">
        <v>65</v>
      </c>
      <c r="S1" s="8" t="s">
        <v>67</v>
      </c>
      <c r="T1" s="8" t="s">
        <v>70</v>
      </c>
      <c r="U1" s="8" t="s">
        <v>72</v>
      </c>
      <c r="V1" s="8" t="s">
        <v>74</v>
      </c>
      <c r="W1" s="8" t="s">
        <v>75</v>
      </c>
      <c r="X1" s="8" t="s">
        <v>35</v>
      </c>
      <c r="Y1" s="8" t="s">
        <v>79</v>
      </c>
      <c r="Z1" s="8" t="s">
        <v>80</v>
      </c>
      <c r="AA1" s="8" t="s">
        <v>81</v>
      </c>
      <c r="AB1" s="8" t="s">
        <v>82</v>
      </c>
      <c r="AC1" s="8" t="s">
        <v>83</v>
      </c>
      <c r="AD1" s="8" t="s">
        <v>86</v>
      </c>
      <c r="AE1" s="8" t="s">
        <v>88</v>
      </c>
      <c r="AF1" s="8" t="s">
        <v>89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98</v>
      </c>
      <c r="AN1" s="1" t="s">
        <v>99</v>
      </c>
      <c r="AO1" s="1" t="s">
        <v>101</v>
      </c>
      <c r="AP1" s="1" t="s">
        <v>102</v>
      </c>
      <c r="AQ1" s="1" t="s">
        <v>103</v>
      </c>
      <c r="AR1" s="1" t="s">
        <v>105</v>
      </c>
      <c r="AS1" s="1" t="s">
        <v>106</v>
      </c>
      <c r="AT1" s="1" t="s">
        <v>107</v>
      </c>
      <c r="AU1" s="1" t="s">
        <v>108</v>
      </c>
    </row>
    <row r="2">
      <c r="A2" s="15">
        <v>1.0</v>
      </c>
      <c r="B2" s="16" t="s">
        <v>113</v>
      </c>
      <c r="C2" s="17" t="s">
        <v>116</v>
      </c>
      <c r="D2" s="6">
        <v>2.021010067455E12</v>
      </c>
      <c r="E2" s="6">
        <v>1.1242424701E10</v>
      </c>
      <c r="F2" s="6" t="s">
        <v>121</v>
      </c>
      <c r="G2" s="6" t="s">
        <v>122</v>
      </c>
      <c r="H2" s="6" t="s">
        <v>125</v>
      </c>
      <c r="I2" s="6" t="s">
        <v>126</v>
      </c>
      <c r="J2" s="6" t="s">
        <v>127</v>
      </c>
      <c r="K2" s="6">
        <v>123456.0</v>
      </c>
      <c r="L2" s="6">
        <v>8.264236889E9</v>
      </c>
      <c r="M2" s="6">
        <v>7.340986559E9</v>
      </c>
      <c r="N2" s="6">
        <v>8.264236889E9</v>
      </c>
      <c r="O2" s="23">
        <v>37926.0</v>
      </c>
      <c r="P2" s="6" t="s">
        <v>133</v>
      </c>
      <c r="Q2" s="6" t="s">
        <v>134</v>
      </c>
      <c r="R2" s="6" t="s">
        <v>135</v>
      </c>
      <c r="S2" s="6" t="s">
        <v>136</v>
      </c>
      <c r="T2" s="6">
        <v>143501.0</v>
      </c>
      <c r="U2" s="6" t="s">
        <v>138</v>
      </c>
      <c r="V2" s="6" t="s">
        <v>140</v>
      </c>
      <c r="W2" s="6" t="s">
        <v>141</v>
      </c>
      <c r="X2" s="6" t="s">
        <v>143</v>
      </c>
      <c r="Y2" s="6" t="s">
        <v>144</v>
      </c>
      <c r="Z2" s="26" t="s">
        <v>80</v>
      </c>
      <c r="AA2" s="12" t="s">
        <v>146</v>
      </c>
      <c r="AB2" s="28"/>
      <c r="AC2" s="28"/>
      <c r="AD2" s="7"/>
      <c r="AE2" s="7"/>
      <c r="AF2" s="30" t="s">
        <v>151</v>
      </c>
      <c r="AG2" s="1"/>
      <c r="AH2" s="1"/>
    </row>
    <row r="3">
      <c r="A3" s="15">
        <v>2.0</v>
      </c>
      <c r="B3" s="16" t="s">
        <v>113</v>
      </c>
      <c r="C3" s="17" t="s">
        <v>116</v>
      </c>
      <c r="D3" s="6">
        <v>2.022010046061E12</v>
      </c>
      <c r="E3" s="6">
        <v>1.1242424703E10</v>
      </c>
      <c r="F3" s="6" t="s">
        <v>160</v>
      </c>
      <c r="G3" s="6" t="s">
        <v>161</v>
      </c>
      <c r="H3" s="6" t="s">
        <v>163</v>
      </c>
      <c r="I3" s="6" t="s">
        <v>164</v>
      </c>
      <c r="J3" s="6" t="s">
        <v>165</v>
      </c>
      <c r="K3" s="6">
        <v>123456.0</v>
      </c>
      <c r="L3" s="6">
        <v>7.814680768E9</v>
      </c>
      <c r="M3" s="6">
        <v>7.814680768E9</v>
      </c>
      <c r="N3" s="6">
        <v>7.888728522E9</v>
      </c>
      <c r="O3" s="32">
        <v>38224.0</v>
      </c>
      <c r="P3" s="6" t="s">
        <v>167</v>
      </c>
      <c r="Q3" s="6" t="s">
        <v>168</v>
      </c>
      <c r="R3" s="6" t="s">
        <v>135</v>
      </c>
      <c r="S3" s="6" t="s">
        <v>136</v>
      </c>
      <c r="T3" s="6">
        <v>143001.0</v>
      </c>
      <c r="U3" s="6" t="s">
        <v>169</v>
      </c>
      <c r="V3" s="6" t="s">
        <v>140</v>
      </c>
      <c r="W3" s="6" t="s">
        <v>141</v>
      </c>
      <c r="X3" s="6" t="s">
        <v>143</v>
      </c>
      <c r="Y3" s="6" t="s">
        <v>144</v>
      </c>
      <c r="Z3" s="28"/>
      <c r="AA3" s="12" t="s">
        <v>146</v>
      </c>
      <c r="AB3" s="28"/>
      <c r="AC3" s="28"/>
      <c r="AD3" s="7"/>
      <c r="AE3" s="7"/>
      <c r="AF3" s="30" t="s">
        <v>175</v>
      </c>
      <c r="AG3" s="1"/>
    </row>
    <row r="4">
      <c r="A4" s="15">
        <v>3.0</v>
      </c>
      <c r="B4" s="16" t="s">
        <v>113</v>
      </c>
      <c r="C4" s="17" t="s">
        <v>116</v>
      </c>
      <c r="D4" s="6">
        <v>2.023010037119E12</v>
      </c>
      <c r="E4" s="6">
        <v>1.1242424704E10</v>
      </c>
      <c r="F4" s="6" t="s">
        <v>178</v>
      </c>
      <c r="G4" s="6" t="s">
        <v>179</v>
      </c>
      <c r="H4" s="6" t="s">
        <v>180</v>
      </c>
      <c r="I4" s="6" t="s">
        <v>126</v>
      </c>
      <c r="J4" s="6" t="s">
        <v>182</v>
      </c>
      <c r="K4" s="6">
        <v>123456.0</v>
      </c>
      <c r="L4" s="6">
        <v>9.988221225E9</v>
      </c>
      <c r="M4" s="6">
        <v>7.986660927E9</v>
      </c>
      <c r="N4" s="6">
        <v>8.56880294E9</v>
      </c>
      <c r="O4" s="32">
        <v>38330.0</v>
      </c>
      <c r="P4" s="6" t="s">
        <v>183</v>
      </c>
      <c r="Q4" s="6" t="s">
        <v>184</v>
      </c>
      <c r="R4" s="6" t="s">
        <v>135</v>
      </c>
      <c r="S4" s="6" t="s">
        <v>136</v>
      </c>
      <c r="T4" s="30" t="s">
        <v>186</v>
      </c>
      <c r="U4" s="6" t="s">
        <v>138</v>
      </c>
      <c r="V4" s="6" t="s">
        <v>187</v>
      </c>
      <c r="W4" s="6" t="s">
        <v>141</v>
      </c>
      <c r="X4" s="6" t="s">
        <v>188</v>
      </c>
      <c r="Y4" s="1" t="s">
        <v>144</v>
      </c>
      <c r="Z4" s="6" t="s">
        <v>80</v>
      </c>
      <c r="AA4" s="12" t="s">
        <v>146</v>
      </c>
      <c r="AB4" s="7"/>
      <c r="AC4" s="7"/>
      <c r="AD4" s="7"/>
      <c r="AE4" s="7"/>
      <c r="AF4" s="30" t="s">
        <v>192</v>
      </c>
      <c r="AG4" s="1"/>
    </row>
    <row r="5">
      <c r="A5" s="15">
        <v>4.0</v>
      </c>
      <c r="B5" s="16" t="s">
        <v>113</v>
      </c>
      <c r="C5" s="17" t="s">
        <v>116</v>
      </c>
      <c r="D5" s="6">
        <v>2.02301005832E12</v>
      </c>
      <c r="E5" s="6">
        <v>1.1242424706E10</v>
      </c>
      <c r="F5" s="6" t="s">
        <v>199</v>
      </c>
      <c r="G5" s="6" t="s">
        <v>200</v>
      </c>
      <c r="H5" s="6" t="s">
        <v>202</v>
      </c>
      <c r="I5" s="6" t="s">
        <v>164</v>
      </c>
      <c r="J5" s="6" t="s">
        <v>203</v>
      </c>
      <c r="K5" s="6">
        <v>123456.0</v>
      </c>
      <c r="L5" s="6">
        <v>7.81449364E9</v>
      </c>
      <c r="M5" s="6">
        <v>7.81449364E9</v>
      </c>
      <c r="N5" s="6">
        <v>9.04119364E9</v>
      </c>
      <c r="O5" s="23">
        <v>38421.0</v>
      </c>
      <c r="P5" s="6" t="s">
        <v>204</v>
      </c>
      <c r="Q5" s="6" t="s">
        <v>205</v>
      </c>
      <c r="R5" s="6" t="s">
        <v>206</v>
      </c>
      <c r="S5" s="6" t="s">
        <v>136</v>
      </c>
      <c r="T5" s="6">
        <v>143513.0</v>
      </c>
      <c r="U5" s="6" t="s">
        <v>138</v>
      </c>
      <c r="V5" s="6" t="s">
        <v>66</v>
      </c>
      <c r="W5" s="6" t="s">
        <v>141</v>
      </c>
      <c r="X5" s="6" t="s">
        <v>208</v>
      </c>
      <c r="Y5" s="6" t="s">
        <v>144</v>
      </c>
      <c r="Z5" s="6" t="s">
        <v>80</v>
      </c>
      <c r="AA5" s="12" t="s">
        <v>146</v>
      </c>
      <c r="AB5" s="28"/>
      <c r="AC5" s="28"/>
      <c r="AD5" s="7"/>
      <c r="AE5" s="7"/>
      <c r="AF5" s="30" t="s">
        <v>213</v>
      </c>
    </row>
    <row r="6">
      <c r="A6" s="15">
        <v>5.0</v>
      </c>
      <c r="B6" s="16" t="s">
        <v>113</v>
      </c>
      <c r="C6" s="17" t="s">
        <v>116</v>
      </c>
      <c r="D6" s="6">
        <v>2.023010079239E12</v>
      </c>
      <c r="E6" s="6">
        <v>1.1242424707E10</v>
      </c>
      <c r="F6" s="6" t="s">
        <v>217</v>
      </c>
      <c r="G6" s="6" t="s">
        <v>218</v>
      </c>
      <c r="H6" s="6" t="s">
        <v>220</v>
      </c>
      <c r="I6" s="6" t="s">
        <v>164</v>
      </c>
      <c r="J6" s="6" t="s">
        <v>222</v>
      </c>
      <c r="K6" s="6" t="s">
        <v>224</v>
      </c>
      <c r="L6" s="6">
        <v>9.056699821E9</v>
      </c>
      <c r="M6" s="6">
        <v>7.011774107E9</v>
      </c>
      <c r="N6" s="6">
        <v>9.988654697E9</v>
      </c>
      <c r="O6" s="23">
        <v>38298.0</v>
      </c>
      <c r="P6" s="6" t="s">
        <v>225</v>
      </c>
      <c r="Q6" s="6" t="s">
        <v>226</v>
      </c>
      <c r="R6" s="6" t="s">
        <v>135</v>
      </c>
      <c r="S6" s="6" t="s">
        <v>136</v>
      </c>
      <c r="T6" s="6">
        <v>143001.0</v>
      </c>
      <c r="U6" s="6" t="s">
        <v>138</v>
      </c>
      <c r="V6" s="6" t="s">
        <v>140</v>
      </c>
      <c r="W6" s="6" t="s">
        <v>141</v>
      </c>
      <c r="X6" s="6" t="s">
        <v>229</v>
      </c>
      <c r="Y6" s="6" t="s">
        <v>144</v>
      </c>
      <c r="Z6" s="28"/>
      <c r="AA6" s="12" t="s">
        <v>146</v>
      </c>
      <c r="AB6" s="28"/>
      <c r="AC6" s="28"/>
      <c r="AD6" s="7"/>
      <c r="AE6" s="7"/>
      <c r="AF6" s="30" t="s">
        <v>234</v>
      </c>
    </row>
    <row r="7">
      <c r="A7" s="15">
        <v>6.0</v>
      </c>
      <c r="B7" s="16" t="s">
        <v>113</v>
      </c>
      <c r="C7" s="17" t="s">
        <v>116</v>
      </c>
      <c r="D7" s="6">
        <v>2.023010159468E12</v>
      </c>
      <c r="E7" s="6">
        <v>1.1242424708E10</v>
      </c>
      <c r="F7" s="6" t="s">
        <v>236</v>
      </c>
      <c r="G7" s="6" t="s">
        <v>238</v>
      </c>
      <c r="H7" s="6" t="s">
        <v>239</v>
      </c>
      <c r="I7" s="6" t="s">
        <v>126</v>
      </c>
      <c r="J7" s="6" t="s">
        <v>240</v>
      </c>
      <c r="K7" s="6">
        <v>123456.0</v>
      </c>
      <c r="L7" s="6">
        <v>9.878313761E9</v>
      </c>
      <c r="M7" s="6">
        <v>6.28096653E9</v>
      </c>
      <c r="N7" s="6">
        <v>8.146407518E9</v>
      </c>
      <c r="O7" s="32">
        <v>38797.0</v>
      </c>
      <c r="P7" s="6" t="s">
        <v>243</v>
      </c>
      <c r="Q7" s="6" t="s">
        <v>245</v>
      </c>
      <c r="R7" s="6" t="s">
        <v>246</v>
      </c>
      <c r="S7" s="6" t="s">
        <v>136</v>
      </c>
      <c r="T7" s="30" t="s">
        <v>248</v>
      </c>
      <c r="U7" s="6" t="s">
        <v>138</v>
      </c>
      <c r="V7" s="6" t="s">
        <v>187</v>
      </c>
      <c r="W7" s="6" t="s">
        <v>141</v>
      </c>
      <c r="X7" s="6" t="s">
        <v>250</v>
      </c>
      <c r="Y7" s="6" t="s">
        <v>251</v>
      </c>
      <c r="Z7" s="6" t="s">
        <v>80</v>
      </c>
      <c r="AA7" s="12" t="s">
        <v>146</v>
      </c>
      <c r="AB7" s="7"/>
      <c r="AC7" s="7"/>
      <c r="AD7" s="7"/>
      <c r="AE7" s="7"/>
      <c r="AF7" s="30" t="s">
        <v>255</v>
      </c>
    </row>
    <row r="8">
      <c r="A8" s="15">
        <v>7.0</v>
      </c>
      <c r="B8" s="16" t="s">
        <v>113</v>
      </c>
      <c r="C8" s="17" t="s">
        <v>116</v>
      </c>
      <c r="D8" s="6">
        <v>2.023010160066E12</v>
      </c>
      <c r="E8" s="6">
        <v>1.1242424709E10</v>
      </c>
      <c r="F8" s="6" t="s">
        <v>259</v>
      </c>
      <c r="G8" s="6" t="s">
        <v>260</v>
      </c>
      <c r="H8" s="6" t="s">
        <v>261</v>
      </c>
      <c r="I8" s="6" t="s">
        <v>126</v>
      </c>
      <c r="J8" s="6" t="s">
        <v>262</v>
      </c>
      <c r="K8" s="6" t="s">
        <v>264</v>
      </c>
      <c r="L8" s="6">
        <v>7.009957626E9</v>
      </c>
      <c r="M8" s="6">
        <v>8.054131188E9</v>
      </c>
      <c r="N8" s="6">
        <v>8.054131188E9</v>
      </c>
      <c r="O8" s="32">
        <v>38942.0</v>
      </c>
      <c r="P8" s="6" t="s">
        <v>268</v>
      </c>
      <c r="Q8" s="6" t="s">
        <v>269</v>
      </c>
      <c r="R8" s="6" t="s">
        <v>135</v>
      </c>
      <c r="S8" s="6" t="s">
        <v>136</v>
      </c>
      <c r="T8" s="6" t="s">
        <v>272</v>
      </c>
      <c r="U8" s="6" t="s">
        <v>138</v>
      </c>
      <c r="V8" s="6" t="s">
        <v>187</v>
      </c>
      <c r="W8" s="6" t="s">
        <v>141</v>
      </c>
      <c r="X8" s="6" t="s">
        <v>229</v>
      </c>
      <c r="Y8" s="6" t="s">
        <v>144</v>
      </c>
      <c r="Z8" s="28"/>
      <c r="AA8" s="12" t="s">
        <v>146</v>
      </c>
      <c r="AB8" s="28"/>
      <c r="AC8" s="28"/>
      <c r="AD8" s="7"/>
      <c r="AE8" s="7"/>
      <c r="AF8" s="30" t="s">
        <v>282</v>
      </c>
    </row>
    <row r="9">
      <c r="A9" s="15">
        <v>8.0</v>
      </c>
      <c r="B9" s="16" t="s">
        <v>113</v>
      </c>
      <c r="C9" s="17" t="s">
        <v>116</v>
      </c>
      <c r="D9" s="6">
        <v>2.023010160207E12</v>
      </c>
      <c r="E9" s="6">
        <v>1.124242471E10</v>
      </c>
      <c r="F9" s="6" t="s">
        <v>285</v>
      </c>
      <c r="G9" s="6" t="s">
        <v>286</v>
      </c>
      <c r="H9" s="6" t="s">
        <v>287</v>
      </c>
      <c r="I9" s="6" t="s">
        <v>164</v>
      </c>
      <c r="J9" s="6" t="s">
        <v>290</v>
      </c>
      <c r="K9" s="30" t="s">
        <v>291</v>
      </c>
      <c r="L9" s="6">
        <v>7.707867144E9</v>
      </c>
      <c r="M9" s="6">
        <v>9.814643679E9</v>
      </c>
      <c r="N9" s="6">
        <v>9.855135276E9</v>
      </c>
      <c r="O9" s="32">
        <v>37631.0</v>
      </c>
      <c r="P9" s="6" t="s">
        <v>293</v>
      </c>
      <c r="Q9" s="6" t="s">
        <v>294</v>
      </c>
      <c r="R9" s="6" t="s">
        <v>295</v>
      </c>
      <c r="S9" s="6" t="s">
        <v>296</v>
      </c>
      <c r="T9" s="30" t="s">
        <v>297</v>
      </c>
      <c r="U9" s="6" t="s">
        <v>169</v>
      </c>
      <c r="V9" s="6" t="s">
        <v>66</v>
      </c>
      <c r="W9" s="6" t="s">
        <v>141</v>
      </c>
      <c r="X9" s="6" t="s">
        <v>188</v>
      </c>
      <c r="Y9" s="6" t="s">
        <v>144</v>
      </c>
      <c r="Z9" s="7"/>
      <c r="AA9" s="12" t="s">
        <v>146</v>
      </c>
      <c r="AB9" s="7"/>
      <c r="AC9" s="7"/>
      <c r="AD9" s="7"/>
      <c r="AE9" s="7"/>
      <c r="AF9" s="30" t="s">
        <v>304</v>
      </c>
    </row>
    <row r="10">
      <c r="A10" s="15">
        <v>9.0</v>
      </c>
      <c r="B10" s="16" t="s">
        <v>113</v>
      </c>
      <c r="C10" s="17" t="s">
        <v>116</v>
      </c>
      <c r="D10" s="6">
        <v>2.023010168834E12</v>
      </c>
      <c r="E10" s="6">
        <v>1.1242424713E10</v>
      </c>
      <c r="F10" s="6" t="s">
        <v>306</v>
      </c>
      <c r="G10" s="6" t="s">
        <v>308</v>
      </c>
      <c r="H10" s="6" t="s">
        <v>309</v>
      </c>
      <c r="I10" s="6" t="s">
        <v>126</v>
      </c>
      <c r="J10" s="6" t="s">
        <v>311</v>
      </c>
      <c r="K10" s="6">
        <v>123456.0</v>
      </c>
      <c r="L10" s="6">
        <v>8.968237021E9</v>
      </c>
      <c r="M10" s="6">
        <v>8.437676833E9</v>
      </c>
      <c r="N10" s="6">
        <v>9.877964806E9</v>
      </c>
      <c r="O10" s="23">
        <v>38602.0</v>
      </c>
      <c r="P10" s="6" t="s">
        <v>314</v>
      </c>
      <c r="Q10" s="6" t="s">
        <v>315</v>
      </c>
      <c r="R10" s="6" t="s">
        <v>135</v>
      </c>
      <c r="S10" s="6" t="s">
        <v>136</v>
      </c>
      <c r="T10" s="6">
        <v>143413.0</v>
      </c>
      <c r="U10" s="6" t="s">
        <v>321</v>
      </c>
      <c r="V10" s="6" t="s">
        <v>187</v>
      </c>
      <c r="W10" s="6" t="s">
        <v>141</v>
      </c>
      <c r="X10" s="6" t="s">
        <v>143</v>
      </c>
      <c r="Y10" s="6" t="s">
        <v>144</v>
      </c>
      <c r="Z10" s="28"/>
      <c r="AA10" s="12" t="s">
        <v>146</v>
      </c>
      <c r="AB10" s="28"/>
      <c r="AC10" s="28"/>
      <c r="AD10" s="7"/>
      <c r="AE10" s="7"/>
      <c r="AF10" s="30" t="s">
        <v>326</v>
      </c>
    </row>
    <row r="11">
      <c r="A11" s="15">
        <v>10.0</v>
      </c>
      <c r="B11" s="16" t="s">
        <v>113</v>
      </c>
      <c r="C11" s="17" t="s">
        <v>116</v>
      </c>
      <c r="D11" s="6">
        <v>2.023010171148E12</v>
      </c>
      <c r="E11" s="6">
        <v>1.1242424714E10</v>
      </c>
      <c r="F11" s="6" t="s">
        <v>330</v>
      </c>
      <c r="G11" s="6" t="s">
        <v>331</v>
      </c>
      <c r="H11" s="6" t="s">
        <v>332</v>
      </c>
      <c r="I11" s="6" t="s">
        <v>164</v>
      </c>
      <c r="J11" s="6" t="s">
        <v>335</v>
      </c>
      <c r="K11" s="6">
        <v>123456.0</v>
      </c>
      <c r="L11" s="6">
        <v>7.986074087E9</v>
      </c>
      <c r="M11" s="6">
        <v>6.284339045E9</v>
      </c>
      <c r="N11" s="6">
        <v>7.986074087E9</v>
      </c>
      <c r="O11" s="6" t="s">
        <v>340</v>
      </c>
      <c r="P11" s="6" t="s">
        <v>343</v>
      </c>
      <c r="Q11" s="6" t="s">
        <v>344</v>
      </c>
      <c r="R11" s="6" t="s">
        <v>135</v>
      </c>
      <c r="S11" s="6" t="s">
        <v>136</v>
      </c>
      <c r="T11" s="6">
        <v>143001.0</v>
      </c>
      <c r="U11" s="6" t="s">
        <v>169</v>
      </c>
      <c r="V11" s="6" t="s">
        <v>140</v>
      </c>
      <c r="W11" s="6" t="s">
        <v>141</v>
      </c>
      <c r="X11" s="6" t="s">
        <v>208</v>
      </c>
      <c r="Y11" s="6" t="s">
        <v>251</v>
      </c>
      <c r="Z11" s="28"/>
      <c r="AA11" s="12" t="s">
        <v>146</v>
      </c>
      <c r="AB11" s="28"/>
      <c r="AC11" s="28"/>
      <c r="AD11" s="7"/>
      <c r="AE11" s="7"/>
      <c r="AF11" s="7"/>
    </row>
    <row r="12">
      <c r="A12" s="15">
        <v>11.0</v>
      </c>
      <c r="B12" s="16" t="s">
        <v>113</v>
      </c>
      <c r="C12" s="17" t="s">
        <v>116</v>
      </c>
      <c r="D12" s="6">
        <v>2.024010001307E12</v>
      </c>
      <c r="E12" s="6">
        <v>1.1242424715E10</v>
      </c>
      <c r="F12" s="6" t="s">
        <v>298</v>
      </c>
      <c r="G12" s="6" t="s">
        <v>354</v>
      </c>
      <c r="H12" s="6" t="s">
        <v>355</v>
      </c>
      <c r="I12" s="6" t="s">
        <v>126</v>
      </c>
      <c r="J12" s="6" t="s">
        <v>356</v>
      </c>
      <c r="K12" s="6">
        <v>123456.0</v>
      </c>
      <c r="L12" s="6">
        <v>9.855277896E9</v>
      </c>
      <c r="M12" s="6">
        <v>9.814578238E9</v>
      </c>
      <c r="N12" s="6">
        <v>9.855277896E9</v>
      </c>
      <c r="O12" s="23">
        <v>37931.0</v>
      </c>
      <c r="P12" s="6" t="s">
        <v>362</v>
      </c>
      <c r="Q12" s="6" t="s">
        <v>364</v>
      </c>
      <c r="R12" s="6" t="s">
        <v>135</v>
      </c>
      <c r="S12" s="6" t="s">
        <v>136</v>
      </c>
      <c r="T12" s="6">
        <v>143001.0</v>
      </c>
      <c r="U12" s="6" t="s">
        <v>138</v>
      </c>
      <c r="V12" s="6" t="s">
        <v>187</v>
      </c>
      <c r="W12" s="6" t="s">
        <v>141</v>
      </c>
      <c r="X12" s="6" t="s">
        <v>143</v>
      </c>
      <c r="Y12" s="6" t="s">
        <v>144</v>
      </c>
      <c r="Z12" s="26" t="s">
        <v>80</v>
      </c>
      <c r="AA12" s="12" t="s">
        <v>146</v>
      </c>
      <c r="AB12" s="28"/>
      <c r="AC12" s="28"/>
      <c r="AD12" s="7"/>
      <c r="AE12" s="7"/>
      <c r="AF12" s="30" t="s">
        <v>372</v>
      </c>
    </row>
    <row r="13">
      <c r="A13" s="15">
        <v>12.0</v>
      </c>
      <c r="B13" s="16" t="s">
        <v>113</v>
      </c>
      <c r="C13" s="17" t="s">
        <v>116</v>
      </c>
      <c r="D13" s="6">
        <v>2.024010080061E12</v>
      </c>
      <c r="E13" s="6">
        <v>1.1242424717E10</v>
      </c>
      <c r="F13" s="6" t="s">
        <v>379</v>
      </c>
      <c r="G13" s="6" t="s">
        <v>380</v>
      </c>
      <c r="H13" s="6" t="s">
        <v>383</v>
      </c>
      <c r="I13" s="6" t="s">
        <v>126</v>
      </c>
      <c r="J13" s="6" t="s">
        <v>389</v>
      </c>
      <c r="K13" s="6">
        <v>123456.0</v>
      </c>
      <c r="L13" s="6">
        <v>8.894872298E9</v>
      </c>
      <c r="M13" s="6">
        <v>8.968378069E9</v>
      </c>
      <c r="N13" s="6">
        <v>7.719724912E9</v>
      </c>
      <c r="O13" s="32">
        <v>39285.0</v>
      </c>
      <c r="P13" s="6" t="s">
        <v>394</v>
      </c>
      <c r="Q13" s="6" t="s">
        <v>397</v>
      </c>
      <c r="R13" s="6" t="s">
        <v>246</v>
      </c>
      <c r="S13" s="6" t="s">
        <v>136</v>
      </c>
      <c r="T13" s="30" t="s">
        <v>400</v>
      </c>
      <c r="U13" s="6" t="s">
        <v>169</v>
      </c>
      <c r="V13" s="6" t="s">
        <v>187</v>
      </c>
      <c r="W13" s="6" t="s">
        <v>141</v>
      </c>
      <c r="X13" s="6" t="s">
        <v>250</v>
      </c>
      <c r="Y13" s="6" t="s">
        <v>251</v>
      </c>
      <c r="Z13" s="7"/>
      <c r="AA13" s="12" t="s">
        <v>146</v>
      </c>
      <c r="AB13" s="7"/>
      <c r="AC13" s="7"/>
      <c r="AD13" s="7"/>
      <c r="AE13" s="7"/>
      <c r="AF13" s="30" t="s">
        <v>401</v>
      </c>
    </row>
    <row r="14">
      <c r="A14" s="15">
        <v>13.0</v>
      </c>
      <c r="B14" s="16" t="s">
        <v>113</v>
      </c>
      <c r="C14" s="17" t="s">
        <v>116</v>
      </c>
      <c r="D14" s="6">
        <v>2.024010080083E12</v>
      </c>
      <c r="E14" s="6">
        <v>1.1242424718E10</v>
      </c>
      <c r="F14" s="6" t="s">
        <v>407</v>
      </c>
      <c r="G14" s="6" t="s">
        <v>408</v>
      </c>
      <c r="H14" s="6" t="s">
        <v>202</v>
      </c>
      <c r="I14" s="6" t="s">
        <v>126</v>
      </c>
      <c r="J14" s="6" t="s">
        <v>413</v>
      </c>
      <c r="K14" s="6">
        <v>123456.0</v>
      </c>
      <c r="L14" s="6">
        <v>6.28428197E9</v>
      </c>
      <c r="M14" s="6">
        <v>9.041387929E9</v>
      </c>
      <c r="N14" s="6">
        <v>9.041387929E9</v>
      </c>
      <c r="O14" s="32">
        <v>38922.0</v>
      </c>
      <c r="P14" s="6" t="s">
        <v>415</v>
      </c>
      <c r="Q14" s="6" t="s">
        <v>417</v>
      </c>
      <c r="R14" s="6" t="s">
        <v>418</v>
      </c>
      <c r="S14" s="6" t="s">
        <v>136</v>
      </c>
      <c r="T14" s="30" t="s">
        <v>419</v>
      </c>
      <c r="U14" s="6" t="s">
        <v>138</v>
      </c>
      <c r="V14" s="6" t="s">
        <v>187</v>
      </c>
      <c r="W14" s="6" t="s">
        <v>141</v>
      </c>
      <c r="X14" s="6" t="s">
        <v>188</v>
      </c>
      <c r="Y14" s="6" t="s">
        <v>144</v>
      </c>
      <c r="Z14" s="6" t="s">
        <v>80</v>
      </c>
      <c r="AA14" s="12" t="s">
        <v>146</v>
      </c>
      <c r="AB14" s="7"/>
      <c r="AC14" s="7"/>
      <c r="AD14" s="7"/>
      <c r="AE14" s="7"/>
      <c r="AF14" s="30" t="s">
        <v>423</v>
      </c>
    </row>
    <row r="15">
      <c r="A15" s="15">
        <v>14.0</v>
      </c>
      <c r="B15" s="16" t="s">
        <v>113</v>
      </c>
      <c r="C15" s="17" t="s">
        <v>116</v>
      </c>
      <c r="D15" s="6">
        <v>2.024010080093E12</v>
      </c>
      <c r="E15" s="6">
        <v>1.1242424719E10</v>
      </c>
      <c r="F15" s="6" t="s">
        <v>426</v>
      </c>
      <c r="G15" s="6" t="s">
        <v>427</v>
      </c>
      <c r="H15" s="6" t="s">
        <v>430</v>
      </c>
      <c r="I15" s="6" t="s">
        <v>164</v>
      </c>
      <c r="J15" s="6" t="s">
        <v>431</v>
      </c>
      <c r="K15" s="6">
        <v>123456.0</v>
      </c>
      <c r="L15" s="6">
        <v>8.8835238E9</v>
      </c>
      <c r="M15" s="6">
        <v>8.36005345E9</v>
      </c>
      <c r="N15" s="6">
        <v>8.8835238E9</v>
      </c>
      <c r="O15" s="32">
        <v>38260.0</v>
      </c>
      <c r="P15" s="6" t="s">
        <v>434</v>
      </c>
      <c r="Q15" s="6" t="s">
        <v>436</v>
      </c>
      <c r="R15" s="6" t="s">
        <v>437</v>
      </c>
      <c r="S15" s="6" t="s">
        <v>136</v>
      </c>
      <c r="T15" s="6">
        <v>143401.0</v>
      </c>
      <c r="U15" s="6" t="s">
        <v>169</v>
      </c>
      <c r="V15" s="6" t="s">
        <v>140</v>
      </c>
      <c r="W15" s="6" t="s">
        <v>141</v>
      </c>
      <c r="X15" s="6" t="s">
        <v>229</v>
      </c>
      <c r="Y15" s="6" t="s">
        <v>144</v>
      </c>
      <c r="Z15" s="28"/>
      <c r="AA15" s="12" t="s">
        <v>146</v>
      </c>
      <c r="AB15" s="28"/>
      <c r="AC15" s="28"/>
      <c r="AD15" s="7"/>
      <c r="AE15" s="7"/>
      <c r="AF15" s="30" t="s">
        <v>442</v>
      </c>
    </row>
    <row r="16">
      <c r="A16" s="15">
        <v>15.0</v>
      </c>
      <c r="B16" s="16" t="s">
        <v>113</v>
      </c>
      <c r="C16" s="17" t="s">
        <v>116</v>
      </c>
      <c r="D16" s="6">
        <v>2.024010080109E12</v>
      </c>
      <c r="E16" s="6">
        <v>1.124242472E10</v>
      </c>
      <c r="F16" s="6" t="s">
        <v>448</v>
      </c>
      <c r="G16" s="6" t="s">
        <v>359</v>
      </c>
      <c r="H16" s="6" t="s">
        <v>449</v>
      </c>
      <c r="I16" s="6" t="s">
        <v>126</v>
      </c>
      <c r="J16" s="6" t="s">
        <v>450</v>
      </c>
      <c r="K16" s="6">
        <v>123456.0</v>
      </c>
      <c r="L16" s="6">
        <v>8.699261541E9</v>
      </c>
      <c r="M16" s="6">
        <v>8.427918958E9</v>
      </c>
      <c r="N16" s="6">
        <v>9.815792541E9</v>
      </c>
      <c r="O16" s="23">
        <v>37689.0</v>
      </c>
      <c r="P16" s="6" t="s">
        <v>451</v>
      </c>
      <c r="Q16" s="6" t="s">
        <v>452</v>
      </c>
      <c r="R16" s="6" t="s">
        <v>135</v>
      </c>
      <c r="S16" s="6" t="s">
        <v>136</v>
      </c>
      <c r="T16" s="6">
        <v>143601.0</v>
      </c>
      <c r="U16" s="6" t="s">
        <v>321</v>
      </c>
      <c r="V16" s="6" t="s">
        <v>187</v>
      </c>
      <c r="W16" s="6" t="s">
        <v>141</v>
      </c>
      <c r="X16" s="6" t="s">
        <v>229</v>
      </c>
      <c r="Y16" s="6" t="s">
        <v>144</v>
      </c>
      <c r="Z16" s="28"/>
      <c r="AA16" s="12" t="s">
        <v>146</v>
      </c>
      <c r="AB16" s="28"/>
      <c r="AC16" s="28"/>
      <c r="AD16" s="7"/>
      <c r="AE16" s="7"/>
      <c r="AF16" s="30" t="s">
        <v>457</v>
      </c>
    </row>
    <row r="17">
      <c r="A17" s="15">
        <v>16.0</v>
      </c>
      <c r="B17" s="16" t="s">
        <v>113</v>
      </c>
      <c r="C17" s="17" t="s">
        <v>116</v>
      </c>
      <c r="D17" s="6">
        <v>2.024010080127E12</v>
      </c>
      <c r="E17" s="6">
        <v>1.1242424721E10</v>
      </c>
      <c r="F17" s="6" t="s">
        <v>460</v>
      </c>
      <c r="G17" s="6" t="s">
        <v>461</v>
      </c>
      <c r="H17" s="6" t="s">
        <v>462</v>
      </c>
      <c r="I17" s="6" t="s">
        <v>126</v>
      </c>
      <c r="J17" s="6" t="s">
        <v>465</v>
      </c>
      <c r="K17" s="6">
        <v>123456.0</v>
      </c>
      <c r="L17" s="6">
        <v>9.877830601E9</v>
      </c>
      <c r="M17" s="6">
        <v>9.46395627E9</v>
      </c>
      <c r="N17" s="6">
        <v>9.46395627E9</v>
      </c>
      <c r="O17" s="23">
        <v>38994.0</v>
      </c>
      <c r="P17" s="6" t="s">
        <v>467</v>
      </c>
      <c r="Q17" s="6" t="s">
        <v>469</v>
      </c>
      <c r="R17" s="6" t="s">
        <v>470</v>
      </c>
      <c r="S17" s="6" t="s">
        <v>136</v>
      </c>
      <c r="T17" s="6">
        <v>143416.0</v>
      </c>
      <c r="U17" s="6" t="s">
        <v>169</v>
      </c>
      <c r="V17" s="6" t="s">
        <v>187</v>
      </c>
      <c r="W17" s="6" t="s">
        <v>141</v>
      </c>
      <c r="X17" s="6" t="s">
        <v>208</v>
      </c>
      <c r="Y17" s="6" t="s">
        <v>144</v>
      </c>
      <c r="Z17" s="28"/>
      <c r="AA17" s="12" t="s">
        <v>146</v>
      </c>
      <c r="AB17" s="28"/>
      <c r="AC17" s="28"/>
      <c r="AD17" s="7"/>
      <c r="AE17" s="7"/>
      <c r="AF17" s="30" t="s">
        <v>478</v>
      </c>
      <c r="AG17" s="1"/>
    </row>
    <row r="18">
      <c r="A18" s="15">
        <v>17.0</v>
      </c>
      <c r="B18" s="16" t="s">
        <v>113</v>
      </c>
      <c r="C18" s="17" t="s">
        <v>116</v>
      </c>
      <c r="D18" s="6">
        <v>2.024010080136E12</v>
      </c>
      <c r="E18" s="6">
        <v>1.1242424722E10</v>
      </c>
      <c r="F18" s="6" t="s">
        <v>481</v>
      </c>
      <c r="G18" s="6" t="s">
        <v>384</v>
      </c>
      <c r="H18" s="6" t="s">
        <v>483</v>
      </c>
      <c r="I18" s="6" t="s">
        <v>126</v>
      </c>
      <c r="J18" s="6" t="s">
        <v>485</v>
      </c>
      <c r="K18" s="6">
        <v>123456.0</v>
      </c>
      <c r="L18" s="6">
        <v>9.517720128E9</v>
      </c>
      <c r="M18" s="6">
        <v>8.437371569E9</v>
      </c>
      <c r="N18" s="55">
        <f>+918437371569</f>
        <v>918437371569</v>
      </c>
      <c r="O18" s="32">
        <v>38925.0</v>
      </c>
      <c r="P18" s="6" t="s">
        <v>486</v>
      </c>
      <c r="Q18" s="6" t="s">
        <v>487</v>
      </c>
      <c r="R18" s="6" t="s">
        <v>135</v>
      </c>
      <c r="S18" s="6" t="s">
        <v>136</v>
      </c>
      <c r="T18" s="6">
        <v>143117.0</v>
      </c>
      <c r="U18" s="6" t="s">
        <v>169</v>
      </c>
      <c r="V18" s="6" t="s">
        <v>187</v>
      </c>
      <c r="W18" s="6" t="s">
        <v>141</v>
      </c>
      <c r="X18" s="6" t="s">
        <v>143</v>
      </c>
      <c r="Y18" s="6" t="s">
        <v>144</v>
      </c>
      <c r="Z18" s="28"/>
      <c r="AA18" s="12" t="s">
        <v>146</v>
      </c>
      <c r="AB18" s="28"/>
      <c r="AC18" s="28"/>
      <c r="AD18" s="7"/>
      <c r="AE18" s="7"/>
      <c r="AF18" s="30" t="s">
        <v>495</v>
      </c>
    </row>
    <row r="19">
      <c r="A19" s="15">
        <v>18.0</v>
      </c>
      <c r="B19" s="16" t="s">
        <v>113</v>
      </c>
      <c r="C19" s="17" t="s">
        <v>116</v>
      </c>
      <c r="D19" s="6">
        <v>2.02401008529E12</v>
      </c>
      <c r="E19" s="6">
        <v>1.1242424724E10</v>
      </c>
      <c r="F19" s="6" t="s">
        <v>497</v>
      </c>
      <c r="G19" s="6" t="s">
        <v>498</v>
      </c>
      <c r="H19" s="6" t="s">
        <v>499</v>
      </c>
      <c r="I19" s="6" t="s">
        <v>126</v>
      </c>
      <c r="J19" s="6" t="s">
        <v>500</v>
      </c>
      <c r="K19" s="6">
        <v>123456.0</v>
      </c>
      <c r="L19" s="6">
        <v>9.914038058E9</v>
      </c>
      <c r="M19" s="6">
        <v>9.592521835E9</v>
      </c>
      <c r="N19" s="6">
        <v>8.837638058E9</v>
      </c>
      <c r="O19" s="23">
        <v>38605.0</v>
      </c>
      <c r="P19" s="6" t="s">
        <v>501</v>
      </c>
      <c r="Q19" s="6" t="s">
        <v>503</v>
      </c>
      <c r="R19" s="6" t="s">
        <v>135</v>
      </c>
      <c r="S19" s="6" t="s">
        <v>136</v>
      </c>
      <c r="T19" s="6">
        <v>143115.0</v>
      </c>
      <c r="U19" s="6" t="s">
        <v>321</v>
      </c>
      <c r="V19" s="6" t="s">
        <v>187</v>
      </c>
      <c r="W19" s="6" t="s">
        <v>141</v>
      </c>
      <c r="X19" s="6" t="s">
        <v>506</v>
      </c>
      <c r="Y19" s="6" t="s">
        <v>144</v>
      </c>
      <c r="Z19" s="28"/>
      <c r="AA19" s="12" t="s">
        <v>146</v>
      </c>
      <c r="AB19" s="28"/>
      <c r="AC19" s="28"/>
      <c r="AD19" s="7"/>
      <c r="AE19" s="7"/>
      <c r="AF19" s="30" t="s">
        <v>511</v>
      </c>
    </row>
    <row r="20">
      <c r="A20" s="15">
        <v>19.0</v>
      </c>
      <c r="B20" s="16" t="s">
        <v>113</v>
      </c>
      <c r="C20" s="17" t="s">
        <v>116</v>
      </c>
      <c r="D20" s="6">
        <v>2.024010085371E12</v>
      </c>
      <c r="E20" s="6">
        <v>1.1242424725E10</v>
      </c>
      <c r="F20" s="6" t="s">
        <v>515</v>
      </c>
      <c r="G20" s="6" t="s">
        <v>516</v>
      </c>
      <c r="H20" s="6" t="s">
        <v>517</v>
      </c>
      <c r="I20" s="6" t="s">
        <v>164</v>
      </c>
      <c r="J20" s="6" t="s">
        <v>519</v>
      </c>
      <c r="K20" s="6">
        <v>123456.0</v>
      </c>
      <c r="L20" s="6">
        <v>8.968999811E9</v>
      </c>
      <c r="M20" s="6">
        <v>9.877066765E9</v>
      </c>
      <c r="N20" s="6">
        <v>9.803620947E9</v>
      </c>
      <c r="O20" s="23">
        <v>38450.0</v>
      </c>
      <c r="P20" s="6" t="s">
        <v>520</v>
      </c>
      <c r="Q20" s="6" t="s">
        <v>521</v>
      </c>
      <c r="R20" s="6" t="s">
        <v>522</v>
      </c>
      <c r="S20" s="6" t="s">
        <v>136</v>
      </c>
      <c r="T20" s="6">
        <v>143401.0</v>
      </c>
      <c r="U20" s="6" t="s">
        <v>169</v>
      </c>
      <c r="V20" s="6" t="s">
        <v>140</v>
      </c>
      <c r="W20" s="6" t="s">
        <v>141</v>
      </c>
      <c r="X20" s="6" t="s">
        <v>208</v>
      </c>
      <c r="Y20" s="6" t="s">
        <v>251</v>
      </c>
      <c r="Z20" s="28"/>
      <c r="AA20" s="12" t="s">
        <v>146</v>
      </c>
      <c r="AB20" s="28"/>
      <c r="AC20" s="28"/>
      <c r="AD20" s="7"/>
      <c r="AE20" s="7"/>
      <c r="AF20" s="7"/>
    </row>
    <row r="21">
      <c r="A21" s="15">
        <v>20.0</v>
      </c>
      <c r="B21" s="16" t="s">
        <v>113</v>
      </c>
      <c r="C21" s="17" t="s">
        <v>116</v>
      </c>
      <c r="D21" s="6">
        <v>2.024010087164E12</v>
      </c>
      <c r="E21" s="6">
        <v>1.1242424726E10</v>
      </c>
      <c r="F21" s="6" t="s">
        <v>526</v>
      </c>
      <c r="G21" s="6" t="s">
        <v>528</v>
      </c>
      <c r="H21" s="6" t="s">
        <v>529</v>
      </c>
      <c r="I21" s="6" t="s">
        <v>126</v>
      </c>
      <c r="J21" s="6" t="s">
        <v>530</v>
      </c>
      <c r="K21" s="6" t="s">
        <v>531</v>
      </c>
      <c r="L21" s="6">
        <v>7.88871281E9</v>
      </c>
      <c r="M21" s="6">
        <v>7.888691864E9</v>
      </c>
      <c r="N21" s="6">
        <v>9.878697087E9</v>
      </c>
      <c r="O21" s="23">
        <v>39327.0</v>
      </c>
      <c r="P21" s="6" t="s">
        <v>533</v>
      </c>
      <c r="Q21" s="6" t="s">
        <v>534</v>
      </c>
      <c r="R21" s="6" t="s">
        <v>135</v>
      </c>
      <c r="S21" s="6" t="s">
        <v>136</v>
      </c>
      <c r="T21" s="6">
        <v>143001.0</v>
      </c>
      <c r="U21" s="6" t="s">
        <v>321</v>
      </c>
      <c r="V21" s="6" t="s">
        <v>187</v>
      </c>
      <c r="W21" s="6" t="s">
        <v>141</v>
      </c>
      <c r="X21" s="6" t="s">
        <v>208</v>
      </c>
      <c r="Y21" s="6" t="s">
        <v>144</v>
      </c>
      <c r="Z21" s="28"/>
      <c r="AA21" s="12" t="s">
        <v>146</v>
      </c>
      <c r="AB21" s="28"/>
      <c r="AC21" s="28"/>
      <c r="AD21" s="7"/>
      <c r="AE21" s="7"/>
      <c r="AF21" s="30" t="s">
        <v>536</v>
      </c>
    </row>
    <row r="22">
      <c r="A22" s="15">
        <v>21.0</v>
      </c>
      <c r="B22" s="16" t="s">
        <v>113</v>
      </c>
      <c r="C22" s="17" t="s">
        <v>116</v>
      </c>
      <c r="D22" s="6">
        <v>2.024010089705E12</v>
      </c>
      <c r="E22" s="6">
        <v>1.1242424727E10</v>
      </c>
      <c r="F22" s="6" t="s">
        <v>540</v>
      </c>
      <c r="G22" s="6" t="s">
        <v>308</v>
      </c>
      <c r="H22" s="6" t="s">
        <v>541</v>
      </c>
      <c r="I22" s="6" t="s">
        <v>126</v>
      </c>
      <c r="J22" s="6" t="s">
        <v>543</v>
      </c>
      <c r="K22" s="6" t="s">
        <v>544</v>
      </c>
      <c r="L22" s="6">
        <v>6.239217993E9</v>
      </c>
      <c r="M22" s="6">
        <v>9.878239993E9</v>
      </c>
      <c r="N22" s="55">
        <f>+919888531391</f>
        <v>919888531391</v>
      </c>
      <c r="O22" s="32">
        <v>38861.0</v>
      </c>
      <c r="P22" s="6" t="s">
        <v>545</v>
      </c>
      <c r="Q22" s="6" t="s">
        <v>546</v>
      </c>
      <c r="R22" s="6" t="s">
        <v>547</v>
      </c>
      <c r="S22" s="6" t="s">
        <v>136</v>
      </c>
      <c r="T22" s="6">
        <v>143602.0</v>
      </c>
      <c r="U22" s="6" t="s">
        <v>169</v>
      </c>
      <c r="V22" s="6" t="s">
        <v>187</v>
      </c>
      <c r="W22" s="6" t="s">
        <v>141</v>
      </c>
      <c r="X22" s="6" t="s">
        <v>506</v>
      </c>
      <c r="Y22" s="6" t="s">
        <v>144</v>
      </c>
      <c r="Z22" s="28"/>
      <c r="AA22" s="12" t="s">
        <v>146</v>
      </c>
      <c r="AB22" s="28"/>
      <c r="AC22" s="28"/>
      <c r="AD22" s="7"/>
      <c r="AE22" s="7"/>
      <c r="AF22" s="30" t="s">
        <v>551</v>
      </c>
    </row>
    <row r="23">
      <c r="A23" s="15">
        <v>22.0</v>
      </c>
      <c r="B23" s="16" t="s">
        <v>113</v>
      </c>
      <c r="C23" s="17" t="s">
        <v>116</v>
      </c>
      <c r="D23" s="6">
        <v>2.02401009045E12</v>
      </c>
      <c r="E23" s="6">
        <v>1.1242424729E10</v>
      </c>
      <c r="F23" s="6" t="s">
        <v>553</v>
      </c>
      <c r="G23" s="6" t="s">
        <v>554</v>
      </c>
      <c r="H23" s="6" t="s">
        <v>555</v>
      </c>
      <c r="I23" s="6" t="s">
        <v>126</v>
      </c>
      <c r="J23" s="6" t="s">
        <v>556</v>
      </c>
      <c r="K23" s="6">
        <v>123456.0</v>
      </c>
      <c r="L23" s="6">
        <v>8.728992447E9</v>
      </c>
      <c r="M23" s="6">
        <v>9.872352986E9</v>
      </c>
      <c r="N23" s="82">
        <v>9.18437E11</v>
      </c>
      <c r="O23" s="32">
        <v>38193.0</v>
      </c>
      <c r="P23" s="6" t="s">
        <v>557</v>
      </c>
      <c r="Q23" s="6" t="s">
        <v>558</v>
      </c>
      <c r="R23" s="6" t="s">
        <v>437</v>
      </c>
      <c r="S23" s="6" t="s">
        <v>136</v>
      </c>
      <c r="T23" s="6">
        <v>143416.0</v>
      </c>
      <c r="U23" s="6" t="s">
        <v>138</v>
      </c>
      <c r="V23" s="6" t="s">
        <v>187</v>
      </c>
      <c r="W23" s="6" t="s">
        <v>141</v>
      </c>
      <c r="X23" s="6" t="s">
        <v>208</v>
      </c>
      <c r="Y23" s="6" t="s">
        <v>144</v>
      </c>
      <c r="Z23" s="6" t="s">
        <v>80</v>
      </c>
      <c r="AA23" s="12" t="s">
        <v>146</v>
      </c>
      <c r="AB23" s="28"/>
      <c r="AC23" s="28"/>
      <c r="AD23" s="7"/>
      <c r="AE23" s="7"/>
      <c r="AF23" s="30" t="s">
        <v>563</v>
      </c>
    </row>
    <row r="24">
      <c r="A24" s="15">
        <v>23.0</v>
      </c>
      <c r="B24" s="16" t="s">
        <v>113</v>
      </c>
      <c r="C24" s="17" t="s">
        <v>116</v>
      </c>
      <c r="D24" s="6">
        <v>2.024010090462E12</v>
      </c>
      <c r="E24" s="6">
        <v>1.124242473E10</v>
      </c>
      <c r="F24" s="6" t="s">
        <v>564</v>
      </c>
      <c r="G24" s="6" t="s">
        <v>565</v>
      </c>
      <c r="H24" s="6" t="s">
        <v>566</v>
      </c>
      <c r="I24" s="6" t="s">
        <v>126</v>
      </c>
      <c r="J24" s="6" t="s">
        <v>567</v>
      </c>
      <c r="K24" s="6">
        <v>123456.0</v>
      </c>
      <c r="L24" s="6">
        <v>8.360754311E9</v>
      </c>
      <c r="M24" s="6">
        <v>8.360754311E9</v>
      </c>
      <c r="N24" s="6">
        <v>8.146453149E9</v>
      </c>
      <c r="O24" s="32">
        <v>37919.0</v>
      </c>
      <c r="P24" s="6" t="s">
        <v>568</v>
      </c>
      <c r="Q24" s="6" t="s">
        <v>569</v>
      </c>
      <c r="R24" s="6" t="s">
        <v>570</v>
      </c>
      <c r="S24" s="6" t="s">
        <v>136</v>
      </c>
      <c r="T24" s="6">
        <v>152128.0</v>
      </c>
      <c r="U24" s="6" t="s">
        <v>138</v>
      </c>
      <c r="V24" s="6" t="s">
        <v>187</v>
      </c>
      <c r="W24" s="6" t="s">
        <v>141</v>
      </c>
      <c r="X24" s="6" t="s">
        <v>229</v>
      </c>
      <c r="Y24" s="6" t="s">
        <v>144</v>
      </c>
      <c r="Z24" s="6" t="s">
        <v>80</v>
      </c>
      <c r="AA24" s="12" t="s">
        <v>146</v>
      </c>
      <c r="AB24" s="28"/>
      <c r="AC24" s="28"/>
      <c r="AD24" s="7"/>
      <c r="AE24" s="7"/>
      <c r="AF24" s="30" t="s">
        <v>575</v>
      </c>
    </row>
    <row r="25">
      <c r="A25" s="15">
        <v>24.0</v>
      </c>
      <c r="B25" s="16" t="s">
        <v>113</v>
      </c>
      <c r="C25" s="17" t="s">
        <v>116</v>
      </c>
      <c r="D25" s="6">
        <v>2.024010090479E12</v>
      </c>
      <c r="E25" s="6">
        <v>1.1242424731E10</v>
      </c>
      <c r="F25" s="6" t="s">
        <v>577</v>
      </c>
      <c r="G25" s="6" t="s">
        <v>578</v>
      </c>
      <c r="H25" s="6" t="s">
        <v>579</v>
      </c>
      <c r="I25" s="6" t="s">
        <v>164</v>
      </c>
      <c r="J25" s="6" t="s">
        <v>580</v>
      </c>
      <c r="K25" s="6">
        <v>123456.0</v>
      </c>
      <c r="L25" s="6">
        <v>7.658053714E9</v>
      </c>
      <c r="M25" s="6">
        <v>6.280533265E9</v>
      </c>
      <c r="N25" s="6">
        <v>6.280533265E9</v>
      </c>
      <c r="O25" s="32">
        <v>38613.0</v>
      </c>
      <c r="P25" s="6" t="s">
        <v>581</v>
      </c>
      <c r="Q25" s="6" t="s">
        <v>582</v>
      </c>
      <c r="R25" s="6" t="s">
        <v>583</v>
      </c>
      <c r="S25" s="6" t="s">
        <v>136</v>
      </c>
      <c r="T25" s="6">
        <v>143102.0</v>
      </c>
      <c r="U25" s="6" t="s">
        <v>169</v>
      </c>
      <c r="V25" s="6" t="s">
        <v>140</v>
      </c>
      <c r="W25" s="6" t="s">
        <v>141</v>
      </c>
      <c r="X25" s="6" t="s">
        <v>208</v>
      </c>
      <c r="Y25" s="6" t="s">
        <v>251</v>
      </c>
      <c r="Z25" s="28"/>
      <c r="AA25" s="12" t="s">
        <v>146</v>
      </c>
      <c r="AB25" s="28"/>
      <c r="AC25" s="28"/>
      <c r="AD25" s="7"/>
      <c r="AE25" s="7"/>
      <c r="AF25" s="30" t="s">
        <v>588</v>
      </c>
    </row>
    <row r="26">
      <c r="A26" s="15">
        <v>25.0</v>
      </c>
      <c r="B26" s="16" t="s">
        <v>113</v>
      </c>
      <c r="C26" s="17" t="s">
        <v>116</v>
      </c>
      <c r="D26" s="6">
        <v>2.024010090637E12</v>
      </c>
      <c r="E26" s="6">
        <v>1.1242424732E10</v>
      </c>
      <c r="F26" s="6" t="s">
        <v>590</v>
      </c>
      <c r="G26" s="6" t="s">
        <v>591</v>
      </c>
      <c r="H26" s="6" t="s">
        <v>430</v>
      </c>
      <c r="I26" s="6" t="s">
        <v>126</v>
      </c>
      <c r="J26" s="6" t="s">
        <v>592</v>
      </c>
      <c r="K26" s="6">
        <v>123456.0</v>
      </c>
      <c r="L26" s="6">
        <v>7.88913208E9</v>
      </c>
      <c r="M26" s="6">
        <v>7.495001013E9</v>
      </c>
      <c r="N26" s="6">
        <v>9.781357081E9</v>
      </c>
      <c r="O26" s="23">
        <v>38991.0</v>
      </c>
      <c r="P26" s="6" t="s">
        <v>593</v>
      </c>
      <c r="Q26" s="6" t="s">
        <v>594</v>
      </c>
      <c r="R26" s="6" t="s">
        <v>595</v>
      </c>
      <c r="S26" s="6" t="s">
        <v>136</v>
      </c>
      <c r="T26" s="6">
        <v>142043.0</v>
      </c>
      <c r="U26" s="6" t="s">
        <v>169</v>
      </c>
      <c r="V26" s="6" t="s">
        <v>187</v>
      </c>
      <c r="W26" s="6" t="s">
        <v>141</v>
      </c>
      <c r="X26" s="6" t="s">
        <v>143</v>
      </c>
      <c r="Y26" s="6" t="s">
        <v>144</v>
      </c>
      <c r="Z26" s="28"/>
      <c r="AA26" s="12" t="s">
        <v>146</v>
      </c>
      <c r="AB26" s="28"/>
      <c r="AC26" s="28"/>
      <c r="AD26" s="7"/>
      <c r="AE26" s="7"/>
      <c r="AF26" s="30" t="s">
        <v>600</v>
      </c>
    </row>
    <row r="27">
      <c r="A27" s="15">
        <v>26.0</v>
      </c>
      <c r="B27" s="16" t="s">
        <v>113</v>
      </c>
      <c r="C27" s="17" t="s">
        <v>116</v>
      </c>
      <c r="D27" s="6">
        <v>2.024010090698E12</v>
      </c>
      <c r="E27" s="6">
        <v>1.1242424733E10</v>
      </c>
      <c r="F27" s="6" t="s">
        <v>602</v>
      </c>
      <c r="G27" s="6" t="s">
        <v>603</v>
      </c>
      <c r="H27" s="6" t="s">
        <v>604</v>
      </c>
      <c r="I27" s="6" t="s">
        <v>126</v>
      </c>
      <c r="J27" s="6" t="s">
        <v>605</v>
      </c>
      <c r="K27" s="6">
        <v>123456.0</v>
      </c>
      <c r="L27" s="6">
        <v>8.837779124E9</v>
      </c>
      <c r="M27" s="6">
        <v>9.814505746E9</v>
      </c>
      <c r="N27" s="6">
        <v>7.52896733E9</v>
      </c>
      <c r="O27" s="6" t="s">
        <v>606</v>
      </c>
      <c r="P27" s="6" t="s">
        <v>607</v>
      </c>
      <c r="Q27" s="6" t="s">
        <v>608</v>
      </c>
      <c r="R27" s="6" t="s">
        <v>609</v>
      </c>
      <c r="S27" s="6" t="s">
        <v>136</v>
      </c>
      <c r="T27" s="6">
        <v>143521.0</v>
      </c>
      <c r="U27" s="6" t="s">
        <v>169</v>
      </c>
      <c r="V27" s="6" t="s">
        <v>187</v>
      </c>
      <c r="W27" s="6" t="s">
        <v>141</v>
      </c>
      <c r="X27" s="6" t="s">
        <v>143</v>
      </c>
      <c r="Y27" s="6" t="s">
        <v>144</v>
      </c>
      <c r="Z27" s="28"/>
      <c r="AA27" s="12" t="s">
        <v>146</v>
      </c>
      <c r="AB27" s="28"/>
      <c r="AC27" s="28"/>
      <c r="AD27" s="7"/>
      <c r="AE27" s="7"/>
      <c r="AF27" s="7"/>
    </row>
    <row r="28">
      <c r="A28" s="15">
        <v>27.0</v>
      </c>
      <c r="B28" s="16" t="s">
        <v>113</v>
      </c>
      <c r="C28" s="17" t="s">
        <v>116</v>
      </c>
      <c r="D28" s="6">
        <v>2.024010090765E12</v>
      </c>
      <c r="E28" s="6">
        <v>1.1242424734E10</v>
      </c>
      <c r="F28" s="6" t="s">
        <v>615</v>
      </c>
      <c r="G28" s="6" t="s">
        <v>616</v>
      </c>
      <c r="H28" s="6" t="s">
        <v>617</v>
      </c>
      <c r="I28" s="6" t="s">
        <v>126</v>
      </c>
      <c r="J28" s="6" t="s">
        <v>618</v>
      </c>
      <c r="K28" s="6" t="s">
        <v>619</v>
      </c>
      <c r="L28" s="6">
        <v>8.360829864E9</v>
      </c>
      <c r="M28" s="6">
        <v>8.872586394E9</v>
      </c>
      <c r="N28" s="82">
        <v>9.16284E11</v>
      </c>
      <c r="O28" s="32">
        <v>38216.0</v>
      </c>
      <c r="P28" s="6" t="s">
        <v>620</v>
      </c>
      <c r="Q28" s="6" t="s">
        <v>621</v>
      </c>
      <c r="R28" s="6" t="s">
        <v>135</v>
      </c>
      <c r="S28" s="6" t="s">
        <v>136</v>
      </c>
      <c r="T28" s="6">
        <v>143303.0</v>
      </c>
      <c r="U28" s="6" t="s">
        <v>169</v>
      </c>
      <c r="V28" s="6" t="s">
        <v>187</v>
      </c>
      <c r="W28" s="6" t="s">
        <v>141</v>
      </c>
      <c r="X28" s="6" t="s">
        <v>143</v>
      </c>
      <c r="Y28" s="6" t="s">
        <v>251</v>
      </c>
      <c r="Z28" s="28"/>
      <c r="AA28" s="12" t="s">
        <v>146</v>
      </c>
      <c r="AB28" s="28"/>
      <c r="AC28" s="28"/>
      <c r="AD28" s="7"/>
      <c r="AE28" s="7"/>
      <c r="AF28" s="30" t="s">
        <v>625</v>
      </c>
    </row>
    <row r="29">
      <c r="A29" s="15">
        <v>28.0</v>
      </c>
      <c r="B29" s="16" t="s">
        <v>113</v>
      </c>
      <c r="C29" s="17" t="s">
        <v>116</v>
      </c>
      <c r="D29" s="6">
        <v>2.024010090847E12</v>
      </c>
      <c r="E29" s="6">
        <v>1.1242424736E10</v>
      </c>
      <c r="F29" s="6" t="s">
        <v>627</v>
      </c>
      <c r="G29" s="6" t="s">
        <v>179</v>
      </c>
      <c r="H29" s="6" t="s">
        <v>628</v>
      </c>
      <c r="I29" s="6" t="s">
        <v>126</v>
      </c>
      <c r="J29" s="6" t="s">
        <v>629</v>
      </c>
      <c r="K29" s="6" t="s">
        <v>630</v>
      </c>
      <c r="L29" s="6">
        <v>9.056462172E9</v>
      </c>
      <c r="M29" s="6">
        <v>9.872128172E9</v>
      </c>
      <c r="N29" s="6">
        <v>9.714663728E9</v>
      </c>
      <c r="O29" s="23">
        <v>39023.0</v>
      </c>
      <c r="P29" s="6" t="s">
        <v>631</v>
      </c>
      <c r="Q29" s="6" t="s">
        <v>632</v>
      </c>
      <c r="R29" s="6" t="s">
        <v>135</v>
      </c>
      <c r="S29" s="6" t="s">
        <v>136</v>
      </c>
      <c r="T29" s="6">
        <v>143001.0</v>
      </c>
      <c r="U29" s="6" t="s">
        <v>321</v>
      </c>
      <c r="V29" s="6" t="s">
        <v>187</v>
      </c>
      <c r="W29" s="6" t="s">
        <v>141</v>
      </c>
      <c r="X29" s="6" t="s">
        <v>506</v>
      </c>
      <c r="Y29" s="6" t="s">
        <v>144</v>
      </c>
      <c r="Z29" s="28"/>
      <c r="AA29" s="12" t="s">
        <v>146</v>
      </c>
      <c r="AB29" s="28"/>
      <c r="AC29" s="28"/>
      <c r="AD29" s="7"/>
      <c r="AE29" s="7"/>
      <c r="AF29" s="30" t="s">
        <v>638</v>
      </c>
    </row>
    <row r="30">
      <c r="A30" s="15">
        <v>29.0</v>
      </c>
      <c r="B30" s="16" t="s">
        <v>113</v>
      </c>
      <c r="C30" s="17" t="s">
        <v>116</v>
      </c>
      <c r="D30" s="6">
        <v>2.024010090896E12</v>
      </c>
      <c r="E30" s="6">
        <v>1.1242424737E10</v>
      </c>
      <c r="F30" s="6" t="s">
        <v>639</v>
      </c>
      <c r="G30" s="6" t="s">
        <v>640</v>
      </c>
      <c r="H30" s="6" t="s">
        <v>641</v>
      </c>
      <c r="I30" s="6" t="s">
        <v>126</v>
      </c>
      <c r="J30" s="6" t="s">
        <v>642</v>
      </c>
      <c r="K30" s="6">
        <v>123456.0</v>
      </c>
      <c r="L30" s="6">
        <v>7.347342997E9</v>
      </c>
      <c r="M30" s="6">
        <v>9.814234997E9</v>
      </c>
      <c r="N30" s="6">
        <v>9.855231997E9</v>
      </c>
      <c r="O30" s="32">
        <v>38751.0</v>
      </c>
      <c r="P30" s="6" t="s">
        <v>643</v>
      </c>
      <c r="Q30" s="6" t="s">
        <v>644</v>
      </c>
      <c r="R30" s="6" t="s">
        <v>646</v>
      </c>
      <c r="S30" s="6" t="s">
        <v>136</v>
      </c>
      <c r="T30" s="30" t="s">
        <v>648</v>
      </c>
      <c r="U30" s="6" t="s">
        <v>321</v>
      </c>
      <c r="V30" s="6" t="s">
        <v>66</v>
      </c>
      <c r="W30" s="6" t="s">
        <v>141</v>
      </c>
      <c r="X30" s="6" t="s">
        <v>188</v>
      </c>
      <c r="Y30" s="6" t="s">
        <v>251</v>
      </c>
      <c r="Z30" s="7"/>
      <c r="AA30" s="12" t="s">
        <v>146</v>
      </c>
      <c r="AB30" s="7"/>
      <c r="AC30" s="7"/>
      <c r="AD30" s="7"/>
      <c r="AE30" s="7"/>
      <c r="AF30" s="30" t="s">
        <v>651</v>
      </c>
    </row>
    <row r="31">
      <c r="A31" s="15">
        <v>30.0</v>
      </c>
      <c r="B31" s="16" t="s">
        <v>113</v>
      </c>
      <c r="C31" s="17" t="s">
        <v>116</v>
      </c>
      <c r="D31" s="6">
        <v>2.024010091215E12</v>
      </c>
      <c r="E31" s="6">
        <v>1.1242424738E10</v>
      </c>
      <c r="F31" s="6" t="s">
        <v>652</v>
      </c>
      <c r="G31" s="6" t="s">
        <v>653</v>
      </c>
      <c r="H31" s="6" t="s">
        <v>654</v>
      </c>
      <c r="I31" s="6" t="s">
        <v>126</v>
      </c>
      <c r="J31" s="6" t="s">
        <v>655</v>
      </c>
      <c r="K31" s="6">
        <v>123456.0</v>
      </c>
      <c r="L31" s="6">
        <v>6.239220689E9</v>
      </c>
      <c r="M31" s="6">
        <v>9.814376617E9</v>
      </c>
      <c r="N31" s="6">
        <v>7.986844998E9</v>
      </c>
      <c r="O31" s="32">
        <v>38520.0</v>
      </c>
      <c r="P31" s="6" t="s">
        <v>656</v>
      </c>
      <c r="Q31" s="6" t="s">
        <v>657</v>
      </c>
      <c r="R31" s="6" t="s">
        <v>658</v>
      </c>
      <c r="S31" s="6" t="s">
        <v>136</v>
      </c>
      <c r="T31" s="30" t="s">
        <v>661</v>
      </c>
      <c r="U31" s="6" t="s">
        <v>138</v>
      </c>
      <c r="V31" s="6" t="s">
        <v>187</v>
      </c>
      <c r="W31" s="6" t="s">
        <v>141</v>
      </c>
      <c r="X31" s="6" t="s">
        <v>662</v>
      </c>
      <c r="Y31" s="6" t="s">
        <v>144</v>
      </c>
      <c r="Z31" s="6" t="s">
        <v>80</v>
      </c>
      <c r="AA31" s="12" t="s">
        <v>146</v>
      </c>
      <c r="AB31" s="7"/>
      <c r="AC31" s="7"/>
      <c r="AD31" s="7"/>
      <c r="AE31" s="7"/>
      <c r="AF31" s="30" t="s">
        <v>664</v>
      </c>
    </row>
    <row r="32">
      <c r="A32" s="15">
        <v>31.0</v>
      </c>
      <c r="B32" s="16" t="s">
        <v>113</v>
      </c>
      <c r="C32" s="17" t="s">
        <v>116</v>
      </c>
      <c r="D32" s="6">
        <v>2.024010091261E12</v>
      </c>
      <c r="E32" s="6">
        <v>1.1242424739E10</v>
      </c>
      <c r="F32" s="6" t="s">
        <v>666</v>
      </c>
      <c r="G32" s="6" t="s">
        <v>667</v>
      </c>
      <c r="H32" s="6" t="s">
        <v>668</v>
      </c>
      <c r="I32" s="6" t="s">
        <v>126</v>
      </c>
      <c r="J32" s="6" t="s">
        <v>669</v>
      </c>
      <c r="K32" s="6" t="s">
        <v>670</v>
      </c>
      <c r="L32" s="6">
        <v>7.696198019E9</v>
      </c>
      <c r="M32" s="6">
        <v>9.501418863E9</v>
      </c>
      <c r="N32" s="6">
        <v>9.501418863E9</v>
      </c>
      <c r="O32" s="23">
        <v>39205.0</v>
      </c>
      <c r="P32" s="6" t="s">
        <v>671</v>
      </c>
      <c r="Q32" s="6" t="s">
        <v>672</v>
      </c>
      <c r="R32" s="6" t="s">
        <v>135</v>
      </c>
      <c r="S32" s="6" t="s">
        <v>136</v>
      </c>
      <c r="T32" s="6">
        <v>143114.0</v>
      </c>
      <c r="U32" s="6" t="s">
        <v>138</v>
      </c>
      <c r="V32" s="6" t="s">
        <v>187</v>
      </c>
      <c r="W32" s="6" t="s">
        <v>141</v>
      </c>
      <c r="X32" s="6" t="s">
        <v>143</v>
      </c>
      <c r="Y32" s="6" t="s">
        <v>144</v>
      </c>
      <c r="Z32" s="6" t="s">
        <v>80</v>
      </c>
      <c r="AA32" s="12" t="s">
        <v>146</v>
      </c>
      <c r="AB32" s="28"/>
      <c r="AC32" s="28"/>
      <c r="AD32" s="7"/>
      <c r="AE32" s="7"/>
      <c r="AF32" s="30" t="s">
        <v>673</v>
      </c>
    </row>
    <row r="33">
      <c r="A33" s="15">
        <v>32.0</v>
      </c>
      <c r="B33" s="16" t="s">
        <v>113</v>
      </c>
      <c r="C33" s="17" t="s">
        <v>116</v>
      </c>
      <c r="D33" s="6">
        <v>2.024010092759E12</v>
      </c>
      <c r="E33" s="6">
        <v>1.1242424741E10</v>
      </c>
      <c r="F33" s="6" t="s">
        <v>674</v>
      </c>
      <c r="G33" s="6" t="s">
        <v>675</v>
      </c>
      <c r="H33" s="6" t="s">
        <v>430</v>
      </c>
      <c r="I33" s="6" t="s">
        <v>126</v>
      </c>
      <c r="J33" s="6" t="s">
        <v>676</v>
      </c>
      <c r="K33" s="6">
        <v>123456.0</v>
      </c>
      <c r="L33" s="6">
        <v>9.041027046E9</v>
      </c>
      <c r="M33" s="6">
        <v>9.622412278E9</v>
      </c>
      <c r="N33" s="6">
        <v>8.427255128E9</v>
      </c>
      <c r="O33" s="32">
        <v>39028.0</v>
      </c>
      <c r="P33" s="6" t="s">
        <v>677</v>
      </c>
      <c r="Q33" s="6" t="s">
        <v>678</v>
      </c>
      <c r="R33" s="6" t="s">
        <v>135</v>
      </c>
      <c r="S33" s="6" t="s">
        <v>136</v>
      </c>
      <c r="T33" s="30" t="s">
        <v>679</v>
      </c>
      <c r="U33" s="6" t="s">
        <v>169</v>
      </c>
      <c r="V33" s="6" t="s">
        <v>187</v>
      </c>
      <c r="W33" s="6" t="s">
        <v>141</v>
      </c>
      <c r="X33" s="6" t="s">
        <v>188</v>
      </c>
      <c r="Y33" s="6" t="s">
        <v>144</v>
      </c>
      <c r="Z33" s="7"/>
      <c r="AA33" s="12" t="s">
        <v>146</v>
      </c>
      <c r="AB33" s="7"/>
      <c r="AC33" s="7"/>
      <c r="AD33" s="7"/>
      <c r="AE33" s="7"/>
      <c r="AF33" s="30" t="s">
        <v>680</v>
      </c>
    </row>
    <row r="34">
      <c r="A34" s="15">
        <v>33.0</v>
      </c>
      <c r="B34" s="16" t="s">
        <v>113</v>
      </c>
      <c r="C34" s="17" t="s">
        <v>116</v>
      </c>
      <c r="D34" s="6">
        <v>2.024010092788E12</v>
      </c>
      <c r="E34" s="6">
        <v>1.1242424742E10</v>
      </c>
      <c r="F34" s="6" t="s">
        <v>682</v>
      </c>
      <c r="G34" s="6" t="s">
        <v>684</v>
      </c>
      <c r="H34" s="6" t="s">
        <v>686</v>
      </c>
      <c r="I34" s="6" t="s">
        <v>126</v>
      </c>
      <c r="J34" s="6" t="s">
        <v>687</v>
      </c>
      <c r="K34" s="6" t="s">
        <v>689</v>
      </c>
      <c r="L34" s="6">
        <v>7.889272031E9</v>
      </c>
      <c r="M34" s="6">
        <v>9.417073095E9</v>
      </c>
      <c r="N34" s="6">
        <v>9.888387536E9</v>
      </c>
      <c r="O34" s="23">
        <v>37998.0</v>
      </c>
      <c r="P34" s="6" t="s">
        <v>690</v>
      </c>
      <c r="Q34" s="6" t="s">
        <v>691</v>
      </c>
      <c r="R34" s="6" t="s">
        <v>246</v>
      </c>
      <c r="S34" s="6" t="s">
        <v>136</v>
      </c>
      <c r="T34" s="6">
        <v>145001.0</v>
      </c>
      <c r="U34" s="6" t="s">
        <v>169</v>
      </c>
      <c r="V34" s="6" t="s">
        <v>187</v>
      </c>
      <c r="W34" s="6" t="s">
        <v>141</v>
      </c>
      <c r="X34" s="6" t="s">
        <v>208</v>
      </c>
      <c r="Y34" s="6" t="s">
        <v>251</v>
      </c>
      <c r="Z34" s="28"/>
      <c r="AA34" s="12" t="s">
        <v>146</v>
      </c>
      <c r="AB34" s="28"/>
      <c r="AC34" s="28"/>
      <c r="AD34" s="7"/>
      <c r="AE34" s="7"/>
      <c r="AF34" s="30" t="s">
        <v>693</v>
      </c>
    </row>
    <row r="35">
      <c r="A35" s="15">
        <v>34.0</v>
      </c>
      <c r="B35" s="16" t="s">
        <v>113</v>
      </c>
      <c r="C35" s="17" t="s">
        <v>116</v>
      </c>
      <c r="D35" s="6">
        <v>2.024010092809E12</v>
      </c>
      <c r="E35" s="6">
        <v>1.1242424743E10</v>
      </c>
      <c r="F35" s="6" t="s">
        <v>694</v>
      </c>
      <c r="G35" s="6" t="s">
        <v>695</v>
      </c>
      <c r="H35" s="6" t="s">
        <v>697</v>
      </c>
      <c r="I35" s="6" t="s">
        <v>164</v>
      </c>
      <c r="J35" s="6" t="s">
        <v>700</v>
      </c>
      <c r="K35" s="6">
        <v>123456.0</v>
      </c>
      <c r="L35" s="6">
        <v>7.986912371E9</v>
      </c>
      <c r="M35" s="6">
        <v>9.814855507E9</v>
      </c>
      <c r="N35" s="6">
        <v>7.50815028E9</v>
      </c>
      <c r="O35" s="32">
        <v>38281.0</v>
      </c>
      <c r="P35" s="6" t="s">
        <v>703</v>
      </c>
      <c r="Q35" s="6" t="s">
        <v>704</v>
      </c>
      <c r="R35" s="6" t="s">
        <v>470</v>
      </c>
      <c r="S35" s="6" t="s">
        <v>136</v>
      </c>
      <c r="T35" s="6">
        <v>143416.0</v>
      </c>
      <c r="U35" s="6" t="s">
        <v>138</v>
      </c>
      <c r="V35" s="6" t="s">
        <v>140</v>
      </c>
      <c r="W35" s="6" t="s">
        <v>141</v>
      </c>
      <c r="X35" s="6" t="s">
        <v>208</v>
      </c>
      <c r="Y35" s="6" t="s">
        <v>144</v>
      </c>
      <c r="Z35" s="6" t="s">
        <v>80</v>
      </c>
      <c r="AA35" s="12" t="s">
        <v>146</v>
      </c>
      <c r="AB35" s="28"/>
      <c r="AC35" s="28"/>
      <c r="AD35" s="7"/>
      <c r="AE35" s="7"/>
      <c r="AF35" s="30" t="s">
        <v>705</v>
      </c>
    </row>
    <row r="36">
      <c r="A36" s="15">
        <v>35.0</v>
      </c>
      <c r="B36" s="16" t="s">
        <v>113</v>
      </c>
      <c r="C36" s="17" t="s">
        <v>116</v>
      </c>
      <c r="D36" s="6">
        <v>2.024010092841E12</v>
      </c>
      <c r="E36" s="6">
        <v>1.1242424744E10</v>
      </c>
      <c r="F36" s="6" t="s">
        <v>710</v>
      </c>
      <c r="G36" s="6" t="s">
        <v>711</v>
      </c>
      <c r="H36" s="6" t="s">
        <v>180</v>
      </c>
      <c r="I36" s="6" t="s">
        <v>126</v>
      </c>
      <c r="J36" s="6" t="s">
        <v>713</v>
      </c>
      <c r="K36" s="6">
        <v>123456.0</v>
      </c>
      <c r="L36" s="6">
        <v>7.814025742E9</v>
      </c>
      <c r="M36" s="6">
        <v>9.815674287E9</v>
      </c>
      <c r="N36" s="6">
        <v>7.814930104E9</v>
      </c>
      <c r="O36" s="32">
        <v>38584.0</v>
      </c>
      <c r="P36" s="6" t="s">
        <v>714</v>
      </c>
      <c r="Q36" s="6" t="s">
        <v>715</v>
      </c>
      <c r="R36" s="6" t="s">
        <v>716</v>
      </c>
      <c r="S36" s="6" t="s">
        <v>136</v>
      </c>
      <c r="T36" s="30" t="s">
        <v>717</v>
      </c>
      <c r="U36" s="6" t="s">
        <v>169</v>
      </c>
      <c r="V36" s="6" t="s">
        <v>187</v>
      </c>
      <c r="W36" s="6" t="s">
        <v>141</v>
      </c>
      <c r="X36" s="6" t="s">
        <v>718</v>
      </c>
      <c r="Y36" s="6" t="s">
        <v>144</v>
      </c>
      <c r="Z36" s="7"/>
      <c r="AA36" s="12" t="s">
        <v>146</v>
      </c>
      <c r="AB36" s="7"/>
      <c r="AC36" s="7"/>
      <c r="AD36" s="7"/>
      <c r="AE36" s="7"/>
      <c r="AF36" s="30" t="s">
        <v>722</v>
      </c>
    </row>
    <row r="37">
      <c r="A37" s="15">
        <v>36.0</v>
      </c>
      <c r="B37" s="16" t="s">
        <v>113</v>
      </c>
      <c r="C37" s="17" t="s">
        <v>116</v>
      </c>
      <c r="D37" s="6">
        <v>2.024010092989E12</v>
      </c>
      <c r="E37" s="6">
        <v>1.1242424745E10</v>
      </c>
      <c r="F37" s="6" t="s">
        <v>724</v>
      </c>
      <c r="G37" s="6" t="s">
        <v>725</v>
      </c>
      <c r="H37" s="6" t="s">
        <v>726</v>
      </c>
      <c r="I37" s="6" t="s">
        <v>164</v>
      </c>
      <c r="J37" s="6" t="s">
        <v>727</v>
      </c>
      <c r="K37" s="6">
        <v>12345.0</v>
      </c>
      <c r="L37" s="6">
        <v>9.517919139E9</v>
      </c>
      <c r="M37" s="6">
        <v>9.888684013E9</v>
      </c>
      <c r="N37" s="6">
        <v>7.087365356E9</v>
      </c>
      <c r="O37" s="32">
        <v>38065.0</v>
      </c>
      <c r="P37" s="6" t="s">
        <v>728</v>
      </c>
      <c r="Q37" s="6" t="s">
        <v>729</v>
      </c>
      <c r="R37" s="6" t="s">
        <v>135</v>
      </c>
      <c r="S37" s="6" t="s">
        <v>136</v>
      </c>
      <c r="T37" s="6">
        <v>143001.0</v>
      </c>
      <c r="U37" s="6" t="s">
        <v>169</v>
      </c>
      <c r="V37" s="6" t="s">
        <v>66</v>
      </c>
      <c r="W37" s="6" t="s">
        <v>141</v>
      </c>
      <c r="X37" s="6" t="s">
        <v>143</v>
      </c>
      <c r="Y37" s="6" t="s">
        <v>144</v>
      </c>
      <c r="Z37" s="28"/>
      <c r="AA37" s="12" t="s">
        <v>146</v>
      </c>
      <c r="AB37" s="28"/>
      <c r="AC37" s="28"/>
      <c r="AD37" s="7"/>
      <c r="AE37" s="7"/>
      <c r="AF37" s="30" t="s">
        <v>735</v>
      </c>
    </row>
    <row r="38">
      <c r="A38" s="15">
        <v>37.0</v>
      </c>
      <c r="B38" s="16" t="s">
        <v>113</v>
      </c>
      <c r="C38" s="17" t="s">
        <v>116</v>
      </c>
      <c r="D38" s="6">
        <v>2.024010092997E12</v>
      </c>
      <c r="E38" s="6">
        <v>1.1242424746E10</v>
      </c>
      <c r="F38" s="6" t="s">
        <v>736</v>
      </c>
      <c r="G38" s="6" t="s">
        <v>737</v>
      </c>
      <c r="H38" s="6" t="s">
        <v>738</v>
      </c>
      <c r="I38" s="6" t="s">
        <v>126</v>
      </c>
      <c r="J38" s="6" t="s">
        <v>739</v>
      </c>
      <c r="K38" s="30" t="s">
        <v>291</v>
      </c>
      <c r="L38" s="6">
        <v>8.699394901E9</v>
      </c>
      <c r="M38" s="6">
        <v>9.872275321E9</v>
      </c>
      <c r="N38" s="6">
        <v>8.6993949E8</v>
      </c>
      <c r="O38" s="32">
        <v>38774.0</v>
      </c>
      <c r="P38" s="6" t="s">
        <v>743</v>
      </c>
      <c r="Q38" s="6" t="s">
        <v>745</v>
      </c>
      <c r="R38" s="6" t="s">
        <v>746</v>
      </c>
      <c r="S38" s="6" t="s">
        <v>747</v>
      </c>
      <c r="T38" s="30" t="s">
        <v>748</v>
      </c>
      <c r="U38" s="6" t="s">
        <v>169</v>
      </c>
      <c r="V38" s="6" t="s">
        <v>156</v>
      </c>
      <c r="W38" s="6" t="s">
        <v>141</v>
      </c>
      <c r="X38" s="6" t="s">
        <v>718</v>
      </c>
      <c r="Y38" s="6" t="s">
        <v>251</v>
      </c>
      <c r="Z38" s="7"/>
      <c r="AA38" s="12" t="s">
        <v>146</v>
      </c>
      <c r="AB38" s="7"/>
      <c r="AC38" s="7"/>
      <c r="AD38" s="7"/>
      <c r="AE38" s="7"/>
      <c r="AF38" s="30" t="s">
        <v>750</v>
      </c>
    </row>
    <row r="39">
      <c r="A39" s="15">
        <v>38.0</v>
      </c>
      <c r="B39" s="16" t="s">
        <v>113</v>
      </c>
      <c r="C39" s="17" t="s">
        <v>116</v>
      </c>
      <c r="D39" s="6">
        <v>2.024010093013E12</v>
      </c>
      <c r="E39" s="6">
        <v>1.1242424747E10</v>
      </c>
      <c r="F39" s="6" t="s">
        <v>751</v>
      </c>
      <c r="G39" s="6" t="s">
        <v>752</v>
      </c>
      <c r="H39" s="6" t="s">
        <v>628</v>
      </c>
      <c r="I39" s="6" t="s">
        <v>164</v>
      </c>
      <c r="J39" s="6" t="s">
        <v>753</v>
      </c>
      <c r="K39" s="6" t="s">
        <v>754</v>
      </c>
      <c r="L39" s="6">
        <v>9.709700038E9</v>
      </c>
      <c r="M39" s="6">
        <v>9.878981529E9</v>
      </c>
      <c r="N39" s="6">
        <v>9.709700038E9</v>
      </c>
      <c r="O39" s="23">
        <v>38330.0</v>
      </c>
      <c r="P39" s="6" t="s">
        <v>759</v>
      </c>
      <c r="Q39" s="6" t="s">
        <v>760</v>
      </c>
      <c r="R39" s="6" t="s">
        <v>716</v>
      </c>
      <c r="S39" s="6" t="s">
        <v>136</v>
      </c>
      <c r="T39" s="6">
        <v>143401.0</v>
      </c>
      <c r="U39" s="6" t="s">
        <v>169</v>
      </c>
      <c r="V39" s="6" t="s">
        <v>140</v>
      </c>
      <c r="W39" s="6" t="s">
        <v>141</v>
      </c>
      <c r="X39" s="6" t="s">
        <v>143</v>
      </c>
      <c r="Y39" s="6" t="s">
        <v>144</v>
      </c>
      <c r="Z39" s="28"/>
      <c r="AA39" s="12" t="s">
        <v>146</v>
      </c>
      <c r="AB39" s="28"/>
      <c r="AC39" s="28"/>
      <c r="AD39" s="7"/>
      <c r="AE39" s="7"/>
      <c r="AF39" s="30" t="s">
        <v>762</v>
      </c>
    </row>
    <row r="40">
      <c r="A40" s="15">
        <v>39.0</v>
      </c>
      <c r="B40" s="16" t="s">
        <v>113</v>
      </c>
      <c r="C40" s="17" t="s">
        <v>116</v>
      </c>
      <c r="D40" s="6">
        <v>2.024010004971E12</v>
      </c>
      <c r="E40" s="6">
        <v>1.1242424748E10</v>
      </c>
      <c r="F40" s="6" t="s">
        <v>763</v>
      </c>
      <c r="G40" s="6" t="s">
        <v>528</v>
      </c>
      <c r="H40" s="6" t="s">
        <v>685</v>
      </c>
      <c r="I40" s="6" t="s">
        <v>126</v>
      </c>
      <c r="J40" s="6" t="s">
        <v>764</v>
      </c>
      <c r="K40" s="6">
        <v>123456.0</v>
      </c>
      <c r="L40" s="6">
        <v>8.284904142E9</v>
      </c>
      <c r="M40" s="6">
        <v>9.501988507E9</v>
      </c>
      <c r="N40" s="6">
        <v>7.34085221E9</v>
      </c>
      <c r="O40" s="32">
        <v>38911.0</v>
      </c>
      <c r="P40" s="6" t="s">
        <v>767</v>
      </c>
      <c r="Q40" s="6" t="s">
        <v>768</v>
      </c>
      <c r="R40" s="6" t="s">
        <v>135</v>
      </c>
      <c r="S40" s="6" t="s">
        <v>136</v>
      </c>
      <c r="T40" s="6">
        <v>143149.0</v>
      </c>
      <c r="U40" s="6" t="s">
        <v>138</v>
      </c>
      <c r="V40" s="6" t="s">
        <v>187</v>
      </c>
      <c r="W40" s="6" t="s">
        <v>141</v>
      </c>
      <c r="X40" s="6" t="s">
        <v>208</v>
      </c>
      <c r="Y40" s="6" t="s">
        <v>144</v>
      </c>
      <c r="Z40" s="6" t="s">
        <v>80</v>
      </c>
      <c r="AA40" s="12" t="s">
        <v>146</v>
      </c>
      <c r="AB40" s="28"/>
      <c r="AC40" s="28"/>
      <c r="AD40" s="7"/>
      <c r="AE40" s="7"/>
      <c r="AF40" s="30" t="s">
        <v>770</v>
      </c>
    </row>
    <row r="41">
      <c r="A41" s="15">
        <v>40.0</v>
      </c>
      <c r="B41" s="16" t="s">
        <v>113</v>
      </c>
      <c r="C41" s="17" t="s">
        <v>116</v>
      </c>
      <c r="D41" s="6">
        <v>2.024010006826E12</v>
      </c>
      <c r="E41" s="6">
        <v>1.124242475E10</v>
      </c>
      <c r="F41" s="6" t="s">
        <v>771</v>
      </c>
      <c r="G41" s="6" t="s">
        <v>772</v>
      </c>
      <c r="H41" s="6" t="s">
        <v>774</v>
      </c>
      <c r="I41" s="6" t="s">
        <v>126</v>
      </c>
      <c r="J41" s="6" t="s">
        <v>777</v>
      </c>
      <c r="K41" s="6" t="s">
        <v>778</v>
      </c>
      <c r="L41" s="6">
        <v>9.814330983E9</v>
      </c>
      <c r="M41" s="6">
        <v>9.464030983E9</v>
      </c>
      <c r="N41" s="6">
        <v>7.347319683E9</v>
      </c>
      <c r="O41" s="32">
        <v>39252.0</v>
      </c>
      <c r="P41" s="6" t="s">
        <v>780</v>
      </c>
      <c r="Q41" s="6" t="s">
        <v>781</v>
      </c>
      <c r="R41" s="6" t="s">
        <v>716</v>
      </c>
      <c r="S41" s="6" t="s">
        <v>136</v>
      </c>
      <c r="T41" s="6">
        <v>143422.0</v>
      </c>
      <c r="U41" s="6" t="s">
        <v>138</v>
      </c>
      <c r="V41" s="6" t="s">
        <v>187</v>
      </c>
      <c r="W41" s="6" t="s">
        <v>141</v>
      </c>
      <c r="X41" s="6" t="s">
        <v>208</v>
      </c>
      <c r="Y41" s="6" t="s">
        <v>144</v>
      </c>
      <c r="Z41" s="6" t="s">
        <v>80</v>
      </c>
      <c r="AA41" s="12" t="s">
        <v>146</v>
      </c>
      <c r="AB41" s="28"/>
      <c r="AC41" s="28"/>
      <c r="AD41" s="7"/>
      <c r="AE41" s="7"/>
      <c r="AF41" s="30" t="s">
        <v>783</v>
      </c>
    </row>
    <row r="42">
      <c r="A42" s="15">
        <v>41.0</v>
      </c>
      <c r="B42" s="16" t="s">
        <v>113</v>
      </c>
      <c r="C42" s="17" t="s">
        <v>116</v>
      </c>
      <c r="D42" s="6">
        <v>2.024010008433E12</v>
      </c>
      <c r="E42" s="6">
        <v>1.1242424751E10</v>
      </c>
      <c r="F42" s="6" t="s">
        <v>627</v>
      </c>
      <c r="G42" s="6" t="s">
        <v>784</v>
      </c>
      <c r="H42" s="6" t="s">
        <v>641</v>
      </c>
      <c r="I42" s="6" t="s">
        <v>126</v>
      </c>
      <c r="J42" s="6" t="s">
        <v>785</v>
      </c>
      <c r="K42" s="6">
        <v>123456.0</v>
      </c>
      <c r="L42" s="6">
        <v>7.658895825E9</v>
      </c>
      <c r="M42" s="6">
        <v>9.362365825E9</v>
      </c>
      <c r="N42" s="6">
        <v>9.362365825E9</v>
      </c>
      <c r="O42" s="32">
        <v>38705.0</v>
      </c>
      <c r="P42" s="6" t="s">
        <v>786</v>
      </c>
      <c r="Q42" s="6" t="s">
        <v>787</v>
      </c>
      <c r="R42" s="6" t="s">
        <v>135</v>
      </c>
      <c r="S42" s="6" t="s">
        <v>136</v>
      </c>
      <c r="T42" s="30" t="s">
        <v>790</v>
      </c>
      <c r="U42" s="6" t="s">
        <v>169</v>
      </c>
      <c r="V42" s="6" t="s">
        <v>156</v>
      </c>
      <c r="W42" s="6" t="s">
        <v>141</v>
      </c>
      <c r="X42" s="6" t="s">
        <v>793</v>
      </c>
      <c r="Y42" s="6" t="s">
        <v>144</v>
      </c>
      <c r="Z42" s="7"/>
      <c r="AA42" s="12" t="s">
        <v>146</v>
      </c>
      <c r="AB42" s="7"/>
      <c r="AC42" s="7"/>
      <c r="AD42" s="7"/>
      <c r="AE42" s="7"/>
      <c r="AF42" s="30" t="s">
        <v>795</v>
      </c>
      <c r="AG42" s="1"/>
    </row>
    <row r="43">
      <c r="A43" s="15">
        <v>42.0</v>
      </c>
      <c r="B43" s="16" t="s">
        <v>113</v>
      </c>
      <c r="C43" s="17" t="s">
        <v>116</v>
      </c>
      <c r="D43" s="6">
        <v>2.024010008978E12</v>
      </c>
      <c r="E43" s="6">
        <v>1.1242424752E10</v>
      </c>
      <c r="F43" s="6" t="s">
        <v>571</v>
      </c>
      <c r="G43" s="6" t="s">
        <v>796</v>
      </c>
      <c r="H43" s="6" t="s">
        <v>797</v>
      </c>
      <c r="I43" s="6" t="s">
        <v>126</v>
      </c>
      <c r="J43" s="6" t="s">
        <v>798</v>
      </c>
      <c r="K43" s="6">
        <v>123456.0</v>
      </c>
      <c r="L43" s="6">
        <v>8.968187139E9</v>
      </c>
      <c r="M43" s="6">
        <v>7.657824005E9</v>
      </c>
      <c r="N43" s="6">
        <v>8.14651098E9</v>
      </c>
      <c r="O43" s="32">
        <v>38620.0</v>
      </c>
      <c r="P43" s="6" t="s">
        <v>799</v>
      </c>
      <c r="Q43" s="6" t="s">
        <v>802</v>
      </c>
      <c r="R43" s="6" t="s">
        <v>716</v>
      </c>
      <c r="S43" s="6" t="s">
        <v>136</v>
      </c>
      <c r="T43" s="6">
        <v>143406.0</v>
      </c>
      <c r="U43" s="6" t="s">
        <v>138</v>
      </c>
      <c r="V43" s="6" t="s">
        <v>187</v>
      </c>
      <c r="W43" s="6" t="s">
        <v>141</v>
      </c>
      <c r="X43" s="6" t="s">
        <v>208</v>
      </c>
      <c r="Y43" s="6" t="s">
        <v>144</v>
      </c>
      <c r="Z43" s="6" t="s">
        <v>80</v>
      </c>
      <c r="AA43" s="12" t="s">
        <v>146</v>
      </c>
      <c r="AB43" s="28"/>
      <c r="AC43" s="28"/>
      <c r="AD43" s="7"/>
      <c r="AE43" s="7"/>
      <c r="AF43" s="30" t="s">
        <v>806</v>
      </c>
    </row>
    <row r="44">
      <c r="A44" s="15">
        <v>43.0</v>
      </c>
      <c r="B44" s="16" t="s">
        <v>113</v>
      </c>
      <c r="C44" s="17" t="s">
        <v>116</v>
      </c>
      <c r="D44" s="6">
        <v>2.024010014759E12</v>
      </c>
      <c r="E44" s="6">
        <v>1.1242424754E10</v>
      </c>
      <c r="F44" s="6" t="s">
        <v>807</v>
      </c>
      <c r="G44" s="6" t="s">
        <v>384</v>
      </c>
      <c r="H44" s="6" t="s">
        <v>808</v>
      </c>
      <c r="I44" s="6" t="s">
        <v>164</v>
      </c>
      <c r="J44" s="6" t="s">
        <v>809</v>
      </c>
      <c r="K44" s="6" t="s">
        <v>810</v>
      </c>
      <c r="L44" s="6">
        <v>8.288813378E9</v>
      </c>
      <c r="M44" s="6">
        <v>8.284952734E9</v>
      </c>
      <c r="N44" s="6">
        <v>8.284952734E9</v>
      </c>
      <c r="O44" s="32">
        <v>37890.0</v>
      </c>
      <c r="P44" s="6" t="s">
        <v>815</v>
      </c>
      <c r="Q44" s="6" t="s">
        <v>816</v>
      </c>
      <c r="R44" s="6" t="s">
        <v>470</v>
      </c>
      <c r="S44" s="6" t="s">
        <v>136</v>
      </c>
      <c r="T44" s="6">
        <v>143416.0</v>
      </c>
      <c r="U44" s="6" t="s">
        <v>169</v>
      </c>
      <c r="V44" s="6" t="s">
        <v>140</v>
      </c>
      <c r="W44" s="6" t="s">
        <v>141</v>
      </c>
      <c r="X44" s="6" t="s">
        <v>143</v>
      </c>
      <c r="Y44" s="6" t="s">
        <v>144</v>
      </c>
      <c r="Z44" s="28"/>
      <c r="AA44" s="12" t="s">
        <v>146</v>
      </c>
      <c r="AB44" s="28"/>
      <c r="AC44" s="28"/>
      <c r="AD44" s="7"/>
      <c r="AE44" s="7"/>
      <c r="AF44" s="30" t="s">
        <v>818</v>
      </c>
    </row>
    <row r="45">
      <c r="A45" s="15">
        <v>44.0</v>
      </c>
      <c r="B45" s="16" t="s">
        <v>113</v>
      </c>
      <c r="C45" s="17" t="s">
        <v>116</v>
      </c>
      <c r="D45" s="6">
        <v>2.024010017322E12</v>
      </c>
      <c r="E45" s="6">
        <v>1.1242424755E10</v>
      </c>
      <c r="F45" s="6" t="s">
        <v>819</v>
      </c>
      <c r="G45" s="6" t="s">
        <v>218</v>
      </c>
      <c r="H45" s="6" t="s">
        <v>821</v>
      </c>
      <c r="I45" s="6" t="s">
        <v>126</v>
      </c>
      <c r="J45" s="6" t="s">
        <v>824</v>
      </c>
      <c r="K45" s="6" t="s">
        <v>825</v>
      </c>
      <c r="L45" s="6">
        <v>7.00951457E9</v>
      </c>
      <c r="M45" s="6">
        <v>9.888258911E9</v>
      </c>
      <c r="N45" s="6">
        <v>9.888258911E9</v>
      </c>
      <c r="O45" s="32">
        <v>38518.0</v>
      </c>
      <c r="P45" s="6" t="s">
        <v>827</v>
      </c>
      <c r="Q45" s="6" t="s">
        <v>829</v>
      </c>
      <c r="R45" s="6" t="s">
        <v>135</v>
      </c>
      <c r="S45" s="6" t="s">
        <v>136</v>
      </c>
      <c r="T45" s="6">
        <v>143501.0</v>
      </c>
      <c r="U45" s="6" t="s">
        <v>169</v>
      </c>
      <c r="V45" s="6" t="s">
        <v>187</v>
      </c>
      <c r="W45" s="6" t="s">
        <v>141</v>
      </c>
      <c r="X45" s="6" t="s">
        <v>143</v>
      </c>
      <c r="Y45" s="6" t="s">
        <v>144</v>
      </c>
      <c r="Z45" s="28"/>
      <c r="AA45" s="12" t="s">
        <v>146</v>
      </c>
      <c r="AB45" s="28"/>
      <c r="AC45" s="28"/>
      <c r="AD45" s="7"/>
      <c r="AE45" s="7"/>
      <c r="AF45" s="30" t="s">
        <v>830</v>
      </c>
    </row>
    <row r="46">
      <c r="A46" s="15">
        <v>45.0</v>
      </c>
      <c r="B46" s="16" t="s">
        <v>113</v>
      </c>
      <c r="C46" s="17" t="s">
        <v>116</v>
      </c>
      <c r="D46" s="6">
        <v>2.024010021005E12</v>
      </c>
      <c r="E46" s="6">
        <v>1.1242424756E10</v>
      </c>
      <c r="F46" s="6" t="s">
        <v>834</v>
      </c>
      <c r="G46" s="6" t="s">
        <v>836</v>
      </c>
      <c r="H46" s="6" t="s">
        <v>837</v>
      </c>
      <c r="I46" s="6" t="s">
        <v>126</v>
      </c>
      <c r="J46" s="6" t="s">
        <v>838</v>
      </c>
      <c r="K46" s="6" t="s">
        <v>839</v>
      </c>
      <c r="L46" s="6">
        <v>7.986180576E9</v>
      </c>
      <c r="M46" s="6">
        <v>8.699004938E9</v>
      </c>
      <c r="N46" s="6">
        <v>9.501174938E9</v>
      </c>
      <c r="O46" s="23">
        <v>38571.0</v>
      </c>
      <c r="P46" s="6" t="s">
        <v>841</v>
      </c>
      <c r="Q46" s="6" t="s">
        <v>842</v>
      </c>
      <c r="R46" s="6" t="s">
        <v>609</v>
      </c>
      <c r="S46" s="6" t="s">
        <v>136</v>
      </c>
      <c r="T46" s="6">
        <v>143531.0</v>
      </c>
      <c r="U46" s="6" t="s">
        <v>169</v>
      </c>
      <c r="V46" s="6" t="s">
        <v>187</v>
      </c>
      <c r="W46" s="6" t="s">
        <v>141</v>
      </c>
      <c r="X46" s="6" t="s">
        <v>208</v>
      </c>
      <c r="Y46" s="6" t="s">
        <v>251</v>
      </c>
      <c r="Z46" s="28"/>
      <c r="AA46" s="12" t="s">
        <v>146</v>
      </c>
      <c r="AB46" s="28"/>
      <c r="AC46" s="28"/>
      <c r="AD46" s="7"/>
      <c r="AE46" s="7"/>
      <c r="AF46" s="30" t="s">
        <v>845</v>
      </c>
    </row>
    <row r="47">
      <c r="A47" s="15">
        <v>46.0</v>
      </c>
      <c r="B47" s="16" t="s">
        <v>113</v>
      </c>
      <c r="C47" s="17" t="s">
        <v>116</v>
      </c>
      <c r="D47" s="6">
        <v>2.024010023922E12</v>
      </c>
      <c r="E47" s="6">
        <v>1.1242424757E10</v>
      </c>
      <c r="F47" s="6" t="s">
        <v>847</v>
      </c>
      <c r="G47" s="6" t="s">
        <v>849</v>
      </c>
      <c r="H47" s="6" t="s">
        <v>850</v>
      </c>
      <c r="I47" s="6" t="s">
        <v>126</v>
      </c>
      <c r="J47" s="6" t="s">
        <v>851</v>
      </c>
      <c r="K47" s="6" t="s">
        <v>852</v>
      </c>
      <c r="L47" s="6">
        <v>9.855763919E9</v>
      </c>
      <c r="M47" s="6">
        <v>9.780387261E9</v>
      </c>
      <c r="N47" s="6">
        <v>7.589353179E9</v>
      </c>
      <c r="O47" s="32">
        <v>38943.0</v>
      </c>
      <c r="P47" s="6" t="s">
        <v>853</v>
      </c>
      <c r="Q47" s="6" t="s">
        <v>854</v>
      </c>
      <c r="R47" s="6" t="s">
        <v>855</v>
      </c>
      <c r="S47" s="6" t="s">
        <v>136</v>
      </c>
      <c r="T47" s="30" t="s">
        <v>856</v>
      </c>
      <c r="U47" s="6" t="s">
        <v>138</v>
      </c>
      <c r="V47" s="6" t="s">
        <v>156</v>
      </c>
      <c r="W47" s="6" t="s">
        <v>141</v>
      </c>
      <c r="X47" s="6" t="s">
        <v>188</v>
      </c>
      <c r="Y47" s="6" t="s">
        <v>144</v>
      </c>
      <c r="Z47" s="6" t="s">
        <v>80</v>
      </c>
      <c r="AA47" s="12" t="s">
        <v>146</v>
      </c>
      <c r="AB47" s="7"/>
      <c r="AC47" s="7"/>
      <c r="AD47" s="7"/>
      <c r="AE47" s="7"/>
      <c r="AF47" s="30" t="s">
        <v>861</v>
      </c>
    </row>
    <row r="48">
      <c r="A48" s="15">
        <v>47.0</v>
      </c>
      <c r="B48" s="16" t="s">
        <v>113</v>
      </c>
      <c r="C48" s="17" t="s">
        <v>116</v>
      </c>
      <c r="D48" s="6">
        <v>2.02401007964E12</v>
      </c>
      <c r="E48" s="6">
        <v>1.1242424758E10</v>
      </c>
      <c r="F48" s="6" t="s">
        <v>863</v>
      </c>
      <c r="G48" s="6" t="s">
        <v>864</v>
      </c>
      <c r="H48" s="6" t="s">
        <v>865</v>
      </c>
      <c r="I48" s="6" t="s">
        <v>126</v>
      </c>
      <c r="J48" s="6" t="s">
        <v>866</v>
      </c>
      <c r="K48" s="6">
        <v>123456.0</v>
      </c>
      <c r="L48" s="6">
        <v>7.986668539E9</v>
      </c>
      <c r="M48" s="6">
        <v>9.815160505E9</v>
      </c>
      <c r="N48" s="6">
        <v>9.501080761E9</v>
      </c>
      <c r="O48" s="32">
        <v>39288.0</v>
      </c>
      <c r="P48" s="6" t="s">
        <v>867</v>
      </c>
      <c r="Q48" s="6" t="s">
        <v>868</v>
      </c>
      <c r="R48" s="6" t="s">
        <v>135</v>
      </c>
      <c r="S48" s="6" t="s">
        <v>136</v>
      </c>
      <c r="T48" s="6">
        <v>143149.0</v>
      </c>
      <c r="U48" s="6" t="s">
        <v>138</v>
      </c>
      <c r="V48" s="6" t="s">
        <v>187</v>
      </c>
      <c r="W48" s="6" t="s">
        <v>141</v>
      </c>
      <c r="X48" s="6" t="s">
        <v>208</v>
      </c>
      <c r="Y48" s="6" t="s">
        <v>144</v>
      </c>
      <c r="Z48" s="6" t="s">
        <v>80</v>
      </c>
      <c r="AA48" s="12" t="s">
        <v>146</v>
      </c>
      <c r="AB48" s="28"/>
      <c r="AC48" s="28"/>
      <c r="AD48" s="7"/>
      <c r="AE48" s="7"/>
      <c r="AF48" s="30" t="s">
        <v>872</v>
      </c>
    </row>
    <row r="49">
      <c r="A49" s="15">
        <v>48.0</v>
      </c>
      <c r="B49" s="16" t="s">
        <v>113</v>
      </c>
      <c r="C49" s="17" t="s">
        <v>116</v>
      </c>
      <c r="D49" s="6">
        <v>2.024010079858E12</v>
      </c>
      <c r="E49" s="6">
        <v>1.1242424759E10</v>
      </c>
      <c r="F49" s="6" t="s">
        <v>874</v>
      </c>
      <c r="G49" s="6" t="s">
        <v>603</v>
      </c>
      <c r="H49" s="6" t="s">
        <v>875</v>
      </c>
      <c r="I49" s="6" t="s">
        <v>126</v>
      </c>
      <c r="J49" s="6" t="s">
        <v>876</v>
      </c>
      <c r="K49" s="6">
        <v>123456.0</v>
      </c>
      <c r="L49" s="6">
        <v>9.855492417E9</v>
      </c>
      <c r="M49" s="6">
        <v>9.888353216E9</v>
      </c>
      <c r="N49" s="6">
        <v>8.437583532E9</v>
      </c>
      <c r="O49" s="23">
        <v>38751.0</v>
      </c>
      <c r="P49" s="6" t="s">
        <v>877</v>
      </c>
      <c r="Q49" s="6" t="s">
        <v>878</v>
      </c>
      <c r="R49" s="6" t="s">
        <v>658</v>
      </c>
      <c r="S49" s="6" t="s">
        <v>136</v>
      </c>
      <c r="T49" s="6">
        <v>152033.0</v>
      </c>
      <c r="U49" s="6" t="s">
        <v>138</v>
      </c>
      <c r="V49" s="6" t="s">
        <v>187</v>
      </c>
      <c r="W49" s="6" t="s">
        <v>141</v>
      </c>
      <c r="X49" s="6" t="s">
        <v>143</v>
      </c>
      <c r="Y49" s="6" t="s">
        <v>144</v>
      </c>
      <c r="Z49" s="6" t="s">
        <v>80</v>
      </c>
      <c r="AA49" s="12" t="s">
        <v>146</v>
      </c>
      <c r="AB49" s="28"/>
      <c r="AC49" s="28"/>
      <c r="AD49" s="7"/>
      <c r="AE49" s="7"/>
      <c r="AF49" s="30" t="s">
        <v>884</v>
      </c>
    </row>
    <row r="50">
      <c r="A50" s="15">
        <v>49.0</v>
      </c>
      <c r="B50" s="16" t="s">
        <v>113</v>
      </c>
      <c r="C50" s="17" t="s">
        <v>116</v>
      </c>
      <c r="D50" s="6">
        <v>2.024010079881E12</v>
      </c>
      <c r="E50" s="6">
        <v>1.124242476E10</v>
      </c>
      <c r="F50" s="6" t="s">
        <v>885</v>
      </c>
      <c r="G50" s="6" t="s">
        <v>886</v>
      </c>
      <c r="H50" s="6" t="s">
        <v>887</v>
      </c>
      <c r="I50" s="6" t="s">
        <v>126</v>
      </c>
      <c r="J50" s="6" t="s">
        <v>888</v>
      </c>
      <c r="K50" s="6" t="s">
        <v>889</v>
      </c>
      <c r="L50" s="6">
        <v>6.284086093E9</v>
      </c>
      <c r="M50" s="6">
        <v>9.501746824E9</v>
      </c>
      <c r="N50" s="6">
        <v>6.284086093E9</v>
      </c>
      <c r="O50" s="32">
        <v>39139.0</v>
      </c>
      <c r="P50" s="6" t="s">
        <v>890</v>
      </c>
      <c r="Q50" s="6" t="s">
        <v>891</v>
      </c>
      <c r="R50" s="6" t="s">
        <v>135</v>
      </c>
      <c r="S50" s="6" t="s">
        <v>136</v>
      </c>
      <c r="T50" s="6">
        <v>143001.0</v>
      </c>
      <c r="U50" s="6" t="s">
        <v>169</v>
      </c>
      <c r="V50" s="6" t="s">
        <v>187</v>
      </c>
      <c r="W50" s="6" t="s">
        <v>141</v>
      </c>
      <c r="X50" s="6" t="s">
        <v>208</v>
      </c>
      <c r="Y50" s="6" t="s">
        <v>251</v>
      </c>
      <c r="Z50" s="28"/>
      <c r="AA50" s="12" t="s">
        <v>146</v>
      </c>
      <c r="AB50" s="28"/>
      <c r="AC50" s="28"/>
      <c r="AD50" s="7"/>
      <c r="AE50" s="7"/>
      <c r="AF50" s="30" t="s">
        <v>896</v>
      </c>
    </row>
    <row r="51">
      <c r="A51" s="15">
        <v>50.0</v>
      </c>
      <c r="B51" s="16" t="s">
        <v>113</v>
      </c>
      <c r="C51" s="17" t="s">
        <v>116</v>
      </c>
      <c r="D51" s="6">
        <v>2.024010079938E12</v>
      </c>
      <c r="E51" s="6">
        <v>1.1242424761E10</v>
      </c>
      <c r="F51" s="6" t="s">
        <v>897</v>
      </c>
      <c r="G51" s="6" t="s">
        <v>898</v>
      </c>
      <c r="H51" s="6" t="s">
        <v>685</v>
      </c>
      <c r="I51" s="6" t="s">
        <v>126</v>
      </c>
      <c r="J51" s="6" t="s">
        <v>899</v>
      </c>
      <c r="K51" s="6" t="s">
        <v>900</v>
      </c>
      <c r="L51" s="6">
        <v>9.501912878E9</v>
      </c>
      <c r="M51" s="6">
        <v>9.87806923E9</v>
      </c>
      <c r="N51" s="6">
        <v>8.729007213E9</v>
      </c>
      <c r="O51" s="32">
        <v>38528.0</v>
      </c>
      <c r="P51" s="6" t="s">
        <v>904</v>
      </c>
      <c r="Q51" s="6" t="s">
        <v>906</v>
      </c>
      <c r="R51" s="6" t="s">
        <v>135</v>
      </c>
      <c r="S51" s="6" t="s">
        <v>136</v>
      </c>
      <c r="T51" s="6">
        <v>143504.0</v>
      </c>
      <c r="U51" s="6" t="s">
        <v>169</v>
      </c>
      <c r="V51" s="6" t="s">
        <v>187</v>
      </c>
      <c r="W51" s="6" t="s">
        <v>141</v>
      </c>
      <c r="X51" s="6" t="s">
        <v>229</v>
      </c>
      <c r="Y51" s="6" t="s">
        <v>144</v>
      </c>
      <c r="Z51" s="28"/>
      <c r="AA51" s="12" t="s">
        <v>146</v>
      </c>
      <c r="AB51" s="28"/>
      <c r="AC51" s="28"/>
      <c r="AD51" s="7"/>
      <c r="AE51" s="7"/>
      <c r="AF51" s="30" t="s">
        <v>908</v>
      </c>
    </row>
    <row r="52">
      <c r="A52" s="15">
        <v>51.0</v>
      </c>
      <c r="B52" s="16" t="s">
        <v>113</v>
      </c>
      <c r="C52" s="17" t="s">
        <v>116</v>
      </c>
      <c r="D52" s="6">
        <v>2.024010079971E12</v>
      </c>
      <c r="E52" s="6">
        <v>1.1242424762E10</v>
      </c>
      <c r="F52" s="6" t="s">
        <v>909</v>
      </c>
      <c r="G52" s="6" t="s">
        <v>910</v>
      </c>
      <c r="H52" s="6" t="s">
        <v>911</v>
      </c>
      <c r="I52" s="6" t="s">
        <v>126</v>
      </c>
      <c r="J52" s="6" t="s">
        <v>912</v>
      </c>
      <c r="K52" s="6">
        <v>123456.0</v>
      </c>
      <c r="L52" s="6">
        <v>8.054135154E9</v>
      </c>
      <c r="M52" s="6">
        <v>6.00518792E9</v>
      </c>
      <c r="N52" s="6">
        <v>6.28085692E9</v>
      </c>
      <c r="O52" s="32">
        <v>38556.0</v>
      </c>
      <c r="P52" s="6" t="s">
        <v>915</v>
      </c>
      <c r="Q52" s="6" t="s">
        <v>916</v>
      </c>
      <c r="R52" s="6" t="s">
        <v>135</v>
      </c>
      <c r="S52" s="6" t="s">
        <v>136</v>
      </c>
      <c r="T52" s="6">
        <v>143504.0</v>
      </c>
      <c r="U52" s="6" t="s">
        <v>321</v>
      </c>
      <c r="V52" s="6" t="s">
        <v>187</v>
      </c>
      <c r="W52" s="6" t="s">
        <v>141</v>
      </c>
      <c r="X52" s="6" t="s">
        <v>208</v>
      </c>
      <c r="Y52" s="6" t="s">
        <v>144</v>
      </c>
      <c r="Z52" s="28"/>
      <c r="AA52" s="12" t="s">
        <v>146</v>
      </c>
      <c r="AB52" s="28"/>
      <c r="AC52" s="28"/>
      <c r="AD52" s="7"/>
      <c r="AE52" s="7"/>
      <c r="AF52" s="30" t="s">
        <v>918</v>
      </c>
    </row>
    <row r="53">
      <c r="A53" s="15">
        <v>52.0</v>
      </c>
      <c r="B53" s="16" t="s">
        <v>113</v>
      </c>
      <c r="C53" s="17" t="s">
        <v>116</v>
      </c>
      <c r="D53" s="6">
        <v>2.024010079981E12</v>
      </c>
      <c r="E53" s="6">
        <v>1.1242424763E10</v>
      </c>
      <c r="F53" s="6" t="s">
        <v>919</v>
      </c>
      <c r="G53" s="6" t="s">
        <v>921</v>
      </c>
      <c r="H53" s="6" t="s">
        <v>923</v>
      </c>
      <c r="I53" s="6" t="s">
        <v>126</v>
      </c>
      <c r="J53" s="6" t="s">
        <v>925</v>
      </c>
      <c r="K53" s="6">
        <v>123456.0</v>
      </c>
      <c r="L53" s="6">
        <v>7.009855031E9</v>
      </c>
      <c r="M53" s="6">
        <v>9.915397516E9</v>
      </c>
      <c r="N53" s="6">
        <v>6.284933354E9</v>
      </c>
      <c r="O53" s="32">
        <v>38641.0</v>
      </c>
      <c r="P53" s="6" t="s">
        <v>926</v>
      </c>
      <c r="Q53" s="6" t="s">
        <v>928</v>
      </c>
      <c r="R53" s="6" t="s">
        <v>929</v>
      </c>
      <c r="S53" s="6" t="s">
        <v>136</v>
      </c>
      <c r="T53" s="6">
        <v>141008.0</v>
      </c>
      <c r="U53" s="6" t="s">
        <v>138</v>
      </c>
      <c r="V53" s="6" t="s">
        <v>187</v>
      </c>
      <c r="W53" s="6" t="s">
        <v>141</v>
      </c>
      <c r="X53" s="6" t="s">
        <v>208</v>
      </c>
      <c r="Y53" s="6" t="s">
        <v>144</v>
      </c>
      <c r="Z53" s="6" t="s">
        <v>80</v>
      </c>
      <c r="AA53" s="12" t="s">
        <v>146</v>
      </c>
      <c r="AB53" s="28"/>
      <c r="AC53" s="28"/>
      <c r="AD53" s="7"/>
      <c r="AE53" s="7"/>
      <c r="AF53" s="30" t="s">
        <v>930</v>
      </c>
    </row>
    <row r="54">
      <c r="A54" s="15">
        <v>53.0</v>
      </c>
      <c r="B54" s="16" t="s">
        <v>113</v>
      </c>
      <c r="C54" s="17" t="s">
        <v>116</v>
      </c>
      <c r="D54" s="6">
        <v>2.024010080006E12</v>
      </c>
      <c r="E54" s="6">
        <v>1.1242424764E10</v>
      </c>
      <c r="F54" s="6" t="s">
        <v>932</v>
      </c>
      <c r="G54" s="6" t="s">
        <v>789</v>
      </c>
      <c r="H54" s="6" t="s">
        <v>934</v>
      </c>
      <c r="I54" s="6" t="s">
        <v>164</v>
      </c>
      <c r="J54" s="6" t="s">
        <v>936</v>
      </c>
      <c r="K54" s="6">
        <v>123456.0</v>
      </c>
      <c r="L54" s="6">
        <v>7.717549226E9</v>
      </c>
      <c r="M54" s="6">
        <v>6.283877948E9</v>
      </c>
      <c r="N54" s="6">
        <v>8.196941634E9</v>
      </c>
      <c r="O54" s="32">
        <v>38773.0</v>
      </c>
      <c r="P54" s="6" t="s">
        <v>938</v>
      </c>
      <c r="Q54" s="6" t="s">
        <v>939</v>
      </c>
      <c r="R54" s="6" t="s">
        <v>135</v>
      </c>
      <c r="S54" s="6" t="s">
        <v>136</v>
      </c>
      <c r="T54" s="6">
        <v>143001.0</v>
      </c>
      <c r="U54" s="6" t="s">
        <v>321</v>
      </c>
      <c r="V54" s="6" t="s">
        <v>140</v>
      </c>
      <c r="W54" s="6" t="s">
        <v>141</v>
      </c>
      <c r="X54" s="6" t="s">
        <v>229</v>
      </c>
      <c r="Y54" s="6" t="s">
        <v>144</v>
      </c>
      <c r="Z54" s="28"/>
      <c r="AA54" s="22" t="s">
        <v>940</v>
      </c>
      <c r="AB54" s="28"/>
      <c r="AC54" s="28"/>
      <c r="AD54" s="7"/>
      <c r="AE54" s="7"/>
      <c r="AF54" s="30" t="s">
        <v>942</v>
      </c>
    </row>
    <row r="55">
      <c r="A55" s="15">
        <v>54.0</v>
      </c>
      <c r="B55" s="16" t="s">
        <v>113</v>
      </c>
      <c r="C55" s="17" t="s">
        <v>116</v>
      </c>
      <c r="D55" s="6">
        <v>2.024010080018E12</v>
      </c>
      <c r="E55" s="6">
        <v>1.1242424765E10</v>
      </c>
      <c r="F55" s="6" t="s">
        <v>947</v>
      </c>
      <c r="G55" s="6" t="s">
        <v>948</v>
      </c>
      <c r="H55" s="6" t="s">
        <v>949</v>
      </c>
      <c r="I55" s="6" t="s">
        <v>164</v>
      </c>
      <c r="J55" s="6" t="s">
        <v>950</v>
      </c>
      <c r="K55" s="30" t="s">
        <v>291</v>
      </c>
      <c r="L55" s="6">
        <v>7.210400008E9</v>
      </c>
      <c r="M55" s="6">
        <v>9.815158001E9</v>
      </c>
      <c r="N55" s="6">
        <v>7.307173073E9</v>
      </c>
      <c r="O55" s="32">
        <v>38612.0</v>
      </c>
      <c r="P55" s="6" t="s">
        <v>952</v>
      </c>
      <c r="Q55" s="6" t="s">
        <v>953</v>
      </c>
      <c r="R55" s="6" t="s">
        <v>646</v>
      </c>
      <c r="S55" s="6" t="s">
        <v>136</v>
      </c>
      <c r="T55" s="30" t="s">
        <v>648</v>
      </c>
      <c r="U55" s="6" t="s">
        <v>169</v>
      </c>
      <c r="V55" s="6" t="s">
        <v>66</v>
      </c>
      <c r="W55" s="6" t="s">
        <v>141</v>
      </c>
      <c r="X55" s="6" t="s">
        <v>188</v>
      </c>
      <c r="Y55" s="6" t="s">
        <v>251</v>
      </c>
      <c r="Z55" s="7"/>
      <c r="AA55" s="22" t="s">
        <v>940</v>
      </c>
      <c r="AB55" s="7"/>
      <c r="AC55" s="7"/>
      <c r="AD55" s="7"/>
      <c r="AE55" s="7"/>
      <c r="AF55" s="30" t="s">
        <v>955</v>
      </c>
    </row>
    <row r="56">
      <c r="A56" s="15">
        <v>55.0</v>
      </c>
      <c r="B56" s="16" t="s">
        <v>113</v>
      </c>
      <c r="C56" s="17" t="s">
        <v>116</v>
      </c>
      <c r="D56" s="6">
        <v>2.024010080042E12</v>
      </c>
      <c r="E56" s="6">
        <v>1.1242424766E10</v>
      </c>
      <c r="F56" s="6" t="s">
        <v>958</v>
      </c>
      <c r="G56" s="6" t="s">
        <v>959</v>
      </c>
      <c r="H56" s="6" t="s">
        <v>961</v>
      </c>
      <c r="I56" s="6" t="s">
        <v>126</v>
      </c>
      <c r="J56" s="6" t="s">
        <v>962</v>
      </c>
      <c r="K56" s="6">
        <v>123456.0</v>
      </c>
      <c r="L56" s="6">
        <v>7.347253077E9</v>
      </c>
      <c r="M56" s="6">
        <v>9.872613077E9</v>
      </c>
      <c r="N56" s="6">
        <v>6.28405805E9</v>
      </c>
      <c r="O56" s="23">
        <v>38934.0</v>
      </c>
      <c r="P56" s="6" t="s">
        <v>963</v>
      </c>
      <c r="Q56" s="6" t="s">
        <v>964</v>
      </c>
      <c r="R56" s="6" t="s">
        <v>437</v>
      </c>
      <c r="S56" s="6" t="s">
        <v>136</v>
      </c>
      <c r="T56" s="6">
        <v>143411.0</v>
      </c>
      <c r="U56" s="6" t="s">
        <v>169</v>
      </c>
      <c r="V56" s="6" t="s">
        <v>187</v>
      </c>
      <c r="W56" s="6" t="s">
        <v>141</v>
      </c>
      <c r="X56" s="6" t="s">
        <v>965</v>
      </c>
      <c r="Y56" s="6" t="s">
        <v>144</v>
      </c>
      <c r="Z56" s="28"/>
      <c r="AA56" s="22" t="s">
        <v>940</v>
      </c>
      <c r="AB56" s="28"/>
      <c r="AC56" s="28"/>
      <c r="AD56" s="7"/>
      <c r="AE56" s="7"/>
      <c r="AF56" s="30" t="s">
        <v>968</v>
      </c>
    </row>
    <row r="57">
      <c r="A57" s="15">
        <v>56.0</v>
      </c>
      <c r="B57" s="16" t="s">
        <v>113</v>
      </c>
      <c r="C57" s="17" t="s">
        <v>116</v>
      </c>
      <c r="D57" s="6">
        <v>2.024010003771E12</v>
      </c>
      <c r="E57" s="6">
        <v>1.1242424767E10</v>
      </c>
      <c r="F57" s="6" t="s">
        <v>971</v>
      </c>
      <c r="G57" s="6" t="s">
        <v>972</v>
      </c>
      <c r="H57" s="6" t="s">
        <v>973</v>
      </c>
      <c r="I57" s="6" t="s">
        <v>164</v>
      </c>
      <c r="J57" s="6" t="s">
        <v>975</v>
      </c>
      <c r="K57" s="6">
        <v>123456.0</v>
      </c>
      <c r="L57" s="6">
        <v>8.146127271E9</v>
      </c>
      <c r="M57" s="6">
        <v>9.914604477E9</v>
      </c>
      <c r="N57" s="6">
        <v>9.781670958E9</v>
      </c>
      <c r="O57" s="23">
        <v>38900.0</v>
      </c>
      <c r="P57" s="6" t="s">
        <v>976</v>
      </c>
      <c r="Q57" s="6" t="s">
        <v>977</v>
      </c>
      <c r="R57" s="6" t="s">
        <v>437</v>
      </c>
      <c r="S57" s="6" t="s">
        <v>136</v>
      </c>
      <c r="T57" s="6">
        <v>143401.0</v>
      </c>
      <c r="U57" s="6" t="s">
        <v>169</v>
      </c>
      <c r="V57" s="6" t="s">
        <v>140</v>
      </c>
      <c r="W57" s="6" t="s">
        <v>141</v>
      </c>
      <c r="X57" s="6" t="s">
        <v>208</v>
      </c>
      <c r="Y57" s="6" t="s">
        <v>251</v>
      </c>
      <c r="Z57" s="28"/>
      <c r="AA57" s="22" t="s">
        <v>940</v>
      </c>
      <c r="AB57" s="28"/>
      <c r="AC57" s="28"/>
      <c r="AD57" s="7"/>
      <c r="AE57" s="7"/>
      <c r="AF57" s="30" t="s">
        <v>982</v>
      </c>
    </row>
    <row r="58">
      <c r="A58" s="15">
        <v>57.0</v>
      </c>
      <c r="B58" s="16" t="s">
        <v>113</v>
      </c>
      <c r="C58" s="17" t="s">
        <v>116</v>
      </c>
      <c r="D58" s="6">
        <v>2.024010003871E12</v>
      </c>
      <c r="E58" s="6">
        <v>1.1242424768E10</v>
      </c>
      <c r="F58" s="6" t="s">
        <v>984</v>
      </c>
      <c r="G58" s="6" t="s">
        <v>985</v>
      </c>
      <c r="H58" s="6" t="s">
        <v>163</v>
      </c>
      <c r="I58" s="6" t="s">
        <v>126</v>
      </c>
      <c r="J58" s="6" t="s">
        <v>986</v>
      </c>
      <c r="K58" s="30" t="s">
        <v>291</v>
      </c>
      <c r="L58" s="6">
        <v>9.872383496E9</v>
      </c>
      <c r="M58" s="6">
        <v>9.59286013E9</v>
      </c>
      <c r="N58" s="6">
        <v>9.872383496E9</v>
      </c>
      <c r="O58" s="32">
        <v>38779.0</v>
      </c>
      <c r="P58" s="6" t="s">
        <v>987</v>
      </c>
      <c r="Q58" s="6" t="s">
        <v>988</v>
      </c>
      <c r="R58" s="6" t="s">
        <v>988</v>
      </c>
      <c r="S58" s="6" t="s">
        <v>989</v>
      </c>
      <c r="T58" s="6" t="s">
        <v>990</v>
      </c>
      <c r="U58" s="6" t="s">
        <v>991</v>
      </c>
      <c r="V58" s="6" t="s">
        <v>156</v>
      </c>
      <c r="W58" s="6" t="s">
        <v>141</v>
      </c>
      <c r="X58" s="6" t="s">
        <v>250</v>
      </c>
      <c r="Y58" s="6" t="s">
        <v>992</v>
      </c>
      <c r="Z58" s="6" t="s">
        <v>80</v>
      </c>
      <c r="AA58" s="22" t="s">
        <v>940</v>
      </c>
      <c r="AB58" s="7"/>
      <c r="AC58" s="7"/>
      <c r="AD58" s="7"/>
      <c r="AE58" s="7"/>
      <c r="AF58" s="30" t="s">
        <v>997</v>
      </c>
    </row>
    <row r="59">
      <c r="A59" s="15">
        <v>58.0</v>
      </c>
      <c r="B59" s="16" t="s">
        <v>113</v>
      </c>
      <c r="C59" s="17" t="s">
        <v>116</v>
      </c>
      <c r="D59" s="6">
        <v>2.024010004003E12</v>
      </c>
      <c r="E59" s="6">
        <v>1.1242424769E10</v>
      </c>
      <c r="F59" s="6" t="s">
        <v>999</v>
      </c>
      <c r="G59" s="6" t="s">
        <v>1000</v>
      </c>
      <c r="H59" s="6" t="s">
        <v>1001</v>
      </c>
      <c r="I59" s="6" t="s">
        <v>126</v>
      </c>
      <c r="J59" s="6" t="s">
        <v>1002</v>
      </c>
      <c r="K59" s="30" t="s">
        <v>291</v>
      </c>
      <c r="L59" s="6">
        <v>8.360174331E9</v>
      </c>
      <c r="M59" s="6">
        <v>8.872179462E9</v>
      </c>
      <c r="N59" s="6">
        <v>9.781422048E9</v>
      </c>
      <c r="O59" s="32">
        <v>38823.0</v>
      </c>
      <c r="P59" s="6" t="s">
        <v>1003</v>
      </c>
      <c r="Q59" s="6" t="s">
        <v>1004</v>
      </c>
      <c r="R59" s="6" t="s">
        <v>135</v>
      </c>
      <c r="S59" s="6" t="s">
        <v>136</v>
      </c>
      <c r="T59" s="6">
        <v>143001.0</v>
      </c>
      <c r="U59" s="6" t="s">
        <v>169</v>
      </c>
      <c r="V59" s="6" t="s">
        <v>187</v>
      </c>
      <c r="W59" s="6" t="s">
        <v>141</v>
      </c>
      <c r="X59" s="6" t="s">
        <v>506</v>
      </c>
      <c r="Y59" s="6" t="s">
        <v>251</v>
      </c>
      <c r="Z59" s="28"/>
      <c r="AA59" s="22" t="s">
        <v>940</v>
      </c>
      <c r="AB59" s="28"/>
      <c r="AC59" s="28"/>
      <c r="AD59" s="7"/>
      <c r="AE59" s="7"/>
      <c r="AF59" s="30" t="s">
        <v>1007</v>
      </c>
    </row>
    <row r="60">
      <c r="A60" s="15">
        <v>59.0</v>
      </c>
      <c r="B60" s="16" t="s">
        <v>113</v>
      </c>
      <c r="C60" s="17" t="s">
        <v>116</v>
      </c>
      <c r="D60" s="6">
        <v>2.024010004496E12</v>
      </c>
      <c r="E60" s="6">
        <v>1.1242424771E10</v>
      </c>
      <c r="F60" s="6" t="s">
        <v>1009</v>
      </c>
      <c r="G60" s="6" t="s">
        <v>1010</v>
      </c>
      <c r="H60" s="6" t="s">
        <v>1011</v>
      </c>
      <c r="I60" s="6" t="s">
        <v>164</v>
      </c>
      <c r="J60" s="6" t="s">
        <v>1012</v>
      </c>
      <c r="K60" s="6" t="s">
        <v>1013</v>
      </c>
      <c r="L60" s="6">
        <v>9.056247853E9</v>
      </c>
      <c r="M60" s="6">
        <v>9.915602773E9</v>
      </c>
      <c r="N60" s="55">
        <f>+919780098605</f>
        <v>919780098605</v>
      </c>
      <c r="O60" s="32">
        <v>38730.0</v>
      </c>
      <c r="P60" s="6" t="s">
        <v>1014</v>
      </c>
      <c r="Q60" s="6" t="s">
        <v>1015</v>
      </c>
      <c r="R60" s="6" t="s">
        <v>609</v>
      </c>
      <c r="S60" s="6" t="s">
        <v>136</v>
      </c>
      <c r="T60" s="6">
        <v>143513.0</v>
      </c>
      <c r="U60" s="6" t="s">
        <v>169</v>
      </c>
      <c r="V60" s="6" t="s">
        <v>66</v>
      </c>
      <c r="W60" s="6" t="s">
        <v>141</v>
      </c>
      <c r="X60" s="6" t="s">
        <v>229</v>
      </c>
      <c r="Y60" s="6" t="s">
        <v>144</v>
      </c>
      <c r="Z60" s="28"/>
      <c r="AA60" s="22" t="s">
        <v>940</v>
      </c>
      <c r="AB60" s="28"/>
      <c r="AC60" s="28"/>
      <c r="AD60" s="7"/>
      <c r="AE60" s="7"/>
      <c r="AF60" s="30" t="s">
        <v>1020</v>
      </c>
    </row>
    <row r="61">
      <c r="A61" s="15">
        <v>60.0</v>
      </c>
      <c r="B61" s="16" t="s">
        <v>113</v>
      </c>
      <c r="C61" s="17" t="s">
        <v>116</v>
      </c>
      <c r="D61" s="6">
        <v>2.024010004762E12</v>
      </c>
      <c r="E61" s="6">
        <v>1.1242424772E10</v>
      </c>
      <c r="F61" s="6" t="s">
        <v>1021</v>
      </c>
      <c r="G61" s="6" t="s">
        <v>1023</v>
      </c>
      <c r="H61" s="6" t="s">
        <v>1024</v>
      </c>
      <c r="I61" s="6" t="s">
        <v>126</v>
      </c>
      <c r="J61" s="6" t="s">
        <v>1026</v>
      </c>
      <c r="K61" s="6" t="s">
        <v>1027</v>
      </c>
      <c r="L61" s="6">
        <v>7.719625234E9</v>
      </c>
      <c r="M61" s="6">
        <v>7.717600456E9</v>
      </c>
      <c r="N61" s="6">
        <v>6.284755583E9</v>
      </c>
      <c r="O61" s="23">
        <v>38024.0</v>
      </c>
      <c r="P61" s="6" t="s">
        <v>1029</v>
      </c>
      <c r="Q61" s="6" t="s">
        <v>1030</v>
      </c>
      <c r="R61" s="6" t="s">
        <v>135</v>
      </c>
      <c r="S61" s="6" t="s">
        <v>136</v>
      </c>
      <c r="T61" s="6">
        <v>143601.0</v>
      </c>
      <c r="U61" s="6" t="s">
        <v>138</v>
      </c>
      <c r="V61" s="6" t="s">
        <v>187</v>
      </c>
      <c r="W61" s="6" t="s">
        <v>141</v>
      </c>
      <c r="X61" s="6" t="s">
        <v>229</v>
      </c>
      <c r="Y61" s="6" t="s">
        <v>144</v>
      </c>
      <c r="Z61" s="6" t="s">
        <v>80</v>
      </c>
      <c r="AA61" s="22" t="s">
        <v>940</v>
      </c>
      <c r="AB61" s="28"/>
      <c r="AC61" s="28"/>
      <c r="AD61" s="7"/>
      <c r="AE61" s="7"/>
      <c r="AF61" s="30" t="s">
        <v>1031</v>
      </c>
    </row>
    <row r="62">
      <c r="A62" s="15">
        <v>61.0</v>
      </c>
      <c r="B62" s="16" t="s">
        <v>113</v>
      </c>
      <c r="C62" s="17" t="s">
        <v>116</v>
      </c>
      <c r="D62" s="6">
        <v>2.024010093131E12</v>
      </c>
      <c r="E62" s="6">
        <v>1.1242424773E10</v>
      </c>
      <c r="F62" s="6" t="s">
        <v>1036</v>
      </c>
      <c r="G62" s="6" t="s">
        <v>1037</v>
      </c>
      <c r="H62" s="6" t="s">
        <v>1038</v>
      </c>
      <c r="I62" s="6" t="s">
        <v>126</v>
      </c>
      <c r="J62" s="6" t="s">
        <v>1039</v>
      </c>
      <c r="K62" s="6">
        <v>123456.0</v>
      </c>
      <c r="L62" s="6">
        <v>9.780345979E9</v>
      </c>
      <c r="M62" s="6">
        <v>7.97376514E9</v>
      </c>
      <c r="N62" s="6">
        <v>7.973200654E9</v>
      </c>
      <c r="O62" s="32">
        <v>38980.0</v>
      </c>
      <c r="P62" s="6" t="s">
        <v>1041</v>
      </c>
      <c r="Q62" s="6" t="s">
        <v>1042</v>
      </c>
      <c r="R62" s="6" t="s">
        <v>135</v>
      </c>
      <c r="S62" s="6" t="s">
        <v>136</v>
      </c>
      <c r="T62" s="30" t="s">
        <v>186</v>
      </c>
      <c r="U62" s="6" t="s">
        <v>169</v>
      </c>
      <c r="V62" s="6" t="s">
        <v>156</v>
      </c>
      <c r="W62" s="6" t="s">
        <v>141</v>
      </c>
      <c r="X62" s="6" t="s">
        <v>188</v>
      </c>
      <c r="Y62" s="6" t="s">
        <v>144</v>
      </c>
      <c r="Z62" s="7"/>
      <c r="AA62" s="22" t="s">
        <v>940</v>
      </c>
      <c r="AB62" s="7"/>
      <c r="AC62" s="7"/>
      <c r="AD62" s="7"/>
      <c r="AE62" s="7"/>
      <c r="AF62" s="30" t="s">
        <v>1045</v>
      </c>
    </row>
    <row r="63">
      <c r="A63" s="15">
        <v>62.0</v>
      </c>
      <c r="B63" s="16" t="s">
        <v>113</v>
      </c>
      <c r="C63" s="17" t="s">
        <v>116</v>
      </c>
      <c r="D63" s="6">
        <v>2.024010093145E12</v>
      </c>
      <c r="E63" s="6">
        <v>1.1242424774E10</v>
      </c>
      <c r="F63" s="6" t="s">
        <v>1047</v>
      </c>
      <c r="G63" s="6" t="s">
        <v>1048</v>
      </c>
      <c r="H63" s="6" t="s">
        <v>360</v>
      </c>
      <c r="I63" s="6" t="s">
        <v>164</v>
      </c>
      <c r="J63" s="6" t="s">
        <v>1050</v>
      </c>
      <c r="K63" s="6">
        <v>123456.0</v>
      </c>
      <c r="L63" s="6">
        <v>7.65805196E9</v>
      </c>
      <c r="M63" s="6">
        <v>9.81484376E9</v>
      </c>
      <c r="N63" s="6">
        <v>9.91484376E9</v>
      </c>
      <c r="O63" s="6" t="s">
        <v>1051</v>
      </c>
      <c r="P63" s="6" t="s">
        <v>1052</v>
      </c>
      <c r="Q63" s="6" t="s">
        <v>1053</v>
      </c>
      <c r="R63" s="6" t="s">
        <v>1054</v>
      </c>
      <c r="S63" s="6" t="s">
        <v>136</v>
      </c>
      <c r="T63" s="6">
        <v>142044.0</v>
      </c>
      <c r="U63" s="6" t="s">
        <v>169</v>
      </c>
      <c r="V63" s="6" t="s">
        <v>140</v>
      </c>
      <c r="W63" s="6" t="s">
        <v>141</v>
      </c>
      <c r="X63" s="6" t="s">
        <v>143</v>
      </c>
      <c r="Y63" s="6" t="s">
        <v>144</v>
      </c>
      <c r="Z63" s="28"/>
      <c r="AA63" s="22" t="s">
        <v>940</v>
      </c>
      <c r="AB63" s="28"/>
      <c r="AC63" s="28"/>
      <c r="AD63" s="7"/>
      <c r="AE63" s="7"/>
      <c r="AF63" s="7"/>
    </row>
    <row r="64">
      <c r="A64" s="15">
        <v>63.0</v>
      </c>
      <c r="B64" s="16" t="s">
        <v>113</v>
      </c>
      <c r="C64" s="17" t="s">
        <v>116</v>
      </c>
      <c r="D64" s="6">
        <v>2.024010093236E12</v>
      </c>
      <c r="E64" s="6">
        <v>1.1242424775E10</v>
      </c>
      <c r="F64" s="6" t="s">
        <v>1060</v>
      </c>
      <c r="G64" s="6" t="s">
        <v>725</v>
      </c>
      <c r="H64" s="6" t="s">
        <v>1061</v>
      </c>
      <c r="I64" s="6" t="s">
        <v>126</v>
      </c>
      <c r="J64" s="6" t="s">
        <v>1062</v>
      </c>
      <c r="K64" s="6">
        <v>123456.0</v>
      </c>
      <c r="L64" s="6">
        <v>9.59241301E9</v>
      </c>
      <c r="M64" s="6">
        <v>7.973306202E9</v>
      </c>
      <c r="N64" s="6">
        <v>7.814416195E9</v>
      </c>
      <c r="O64" s="23">
        <v>38362.0</v>
      </c>
      <c r="P64" s="6" t="s">
        <v>1063</v>
      </c>
      <c r="Q64" s="6" t="s">
        <v>1064</v>
      </c>
      <c r="R64" s="6" t="s">
        <v>437</v>
      </c>
      <c r="S64" s="6" t="s">
        <v>136</v>
      </c>
      <c r="T64" s="6">
        <v>143301.0</v>
      </c>
      <c r="U64" s="6" t="s">
        <v>138</v>
      </c>
      <c r="V64" s="6" t="s">
        <v>187</v>
      </c>
      <c r="W64" s="6" t="s">
        <v>141</v>
      </c>
      <c r="X64" s="6" t="s">
        <v>229</v>
      </c>
      <c r="Y64" s="6" t="s">
        <v>144</v>
      </c>
      <c r="Z64" s="26" t="s">
        <v>80</v>
      </c>
      <c r="AA64" s="22" t="s">
        <v>940</v>
      </c>
      <c r="AB64" s="28"/>
      <c r="AC64" s="28"/>
      <c r="AD64" s="7"/>
      <c r="AE64" s="7"/>
      <c r="AF64" s="30" t="s">
        <v>1070</v>
      </c>
    </row>
    <row r="65">
      <c r="A65" s="15">
        <v>64.0</v>
      </c>
      <c r="B65" s="16" t="s">
        <v>113</v>
      </c>
      <c r="C65" s="17" t="s">
        <v>116</v>
      </c>
      <c r="D65" s="6">
        <v>2.024010093307E12</v>
      </c>
      <c r="E65" s="6">
        <v>1.1242424777E10</v>
      </c>
      <c r="F65" s="6" t="s">
        <v>1071</v>
      </c>
      <c r="G65" s="6" t="s">
        <v>1072</v>
      </c>
      <c r="H65" s="6" t="s">
        <v>1073</v>
      </c>
      <c r="I65" s="6" t="s">
        <v>126</v>
      </c>
      <c r="J65" s="6" t="s">
        <v>1074</v>
      </c>
      <c r="K65" s="6">
        <v>123456.0</v>
      </c>
      <c r="L65" s="6">
        <v>7.814931307E9</v>
      </c>
      <c r="M65" s="6">
        <v>9.855270866E9</v>
      </c>
      <c r="N65" s="6">
        <v>8.725071866E9</v>
      </c>
      <c r="O65" s="23">
        <v>38484.0</v>
      </c>
      <c r="P65" s="6" t="s">
        <v>1079</v>
      </c>
      <c r="Q65" s="6" t="s">
        <v>1080</v>
      </c>
      <c r="R65" s="6" t="s">
        <v>646</v>
      </c>
      <c r="S65" s="6" t="s">
        <v>136</v>
      </c>
      <c r="T65" s="6">
        <v>143506.0</v>
      </c>
      <c r="U65" s="6" t="s">
        <v>169</v>
      </c>
      <c r="V65" s="6" t="s">
        <v>187</v>
      </c>
      <c r="W65" s="6" t="s">
        <v>141</v>
      </c>
      <c r="X65" s="6" t="s">
        <v>143</v>
      </c>
      <c r="Y65" s="6" t="s">
        <v>251</v>
      </c>
      <c r="Z65" s="28"/>
      <c r="AA65" s="22" t="s">
        <v>940</v>
      </c>
      <c r="AB65" s="28"/>
      <c r="AC65" s="28"/>
      <c r="AD65" s="7"/>
      <c r="AE65" s="7"/>
      <c r="AF65" s="30" t="s">
        <v>1082</v>
      </c>
    </row>
    <row r="66">
      <c r="A66" s="15">
        <v>65.0</v>
      </c>
      <c r="B66" s="16" t="s">
        <v>113</v>
      </c>
      <c r="C66" s="17" t="s">
        <v>116</v>
      </c>
      <c r="D66" s="6">
        <v>2.024010093318E12</v>
      </c>
      <c r="E66" s="6">
        <v>1.1242424778E10</v>
      </c>
      <c r="F66" s="6" t="s">
        <v>1083</v>
      </c>
      <c r="G66" s="6" t="s">
        <v>354</v>
      </c>
      <c r="H66" s="6" t="s">
        <v>163</v>
      </c>
      <c r="I66" s="6" t="s">
        <v>126</v>
      </c>
      <c r="J66" s="6" t="s">
        <v>1087</v>
      </c>
      <c r="K66" s="6" t="s">
        <v>1089</v>
      </c>
      <c r="L66" s="6">
        <v>7.888831091E9</v>
      </c>
      <c r="M66" s="6">
        <v>9.872577908E9</v>
      </c>
      <c r="N66" s="55">
        <f>+919877237252</f>
        <v>919877237252</v>
      </c>
      <c r="O66" s="32">
        <v>38347.0</v>
      </c>
      <c r="P66" s="6" t="s">
        <v>1091</v>
      </c>
      <c r="Q66" s="6" t="s">
        <v>1092</v>
      </c>
      <c r="R66" s="6" t="s">
        <v>135</v>
      </c>
      <c r="S66" s="6" t="s">
        <v>136</v>
      </c>
      <c r="T66" s="6">
        <v>143001.0</v>
      </c>
      <c r="U66" s="6" t="s">
        <v>169</v>
      </c>
      <c r="V66" s="6" t="s">
        <v>187</v>
      </c>
      <c r="W66" s="6" t="s">
        <v>141</v>
      </c>
      <c r="X66" s="6" t="s">
        <v>143</v>
      </c>
      <c r="Y66" s="6" t="s">
        <v>144</v>
      </c>
      <c r="Z66" s="28"/>
      <c r="AA66" s="22" t="s">
        <v>940</v>
      </c>
      <c r="AB66" s="28"/>
      <c r="AC66" s="28"/>
      <c r="AD66" s="7"/>
      <c r="AE66" s="7"/>
      <c r="AF66" s="30" t="s">
        <v>1093</v>
      </c>
    </row>
    <row r="67">
      <c r="A67" s="15">
        <v>66.0</v>
      </c>
      <c r="B67" s="16" t="s">
        <v>113</v>
      </c>
      <c r="C67" s="17" t="s">
        <v>116</v>
      </c>
      <c r="D67" s="6">
        <v>2.024010093327E12</v>
      </c>
      <c r="E67" s="6">
        <v>1.1242424779E10</v>
      </c>
      <c r="F67" s="6" t="s">
        <v>1096</v>
      </c>
      <c r="G67" s="6" t="s">
        <v>218</v>
      </c>
      <c r="H67" s="6" t="s">
        <v>641</v>
      </c>
      <c r="I67" s="6" t="s">
        <v>126</v>
      </c>
      <c r="J67" s="6" t="s">
        <v>1098</v>
      </c>
      <c r="K67" s="6">
        <v>123456.0</v>
      </c>
      <c r="L67" s="6">
        <v>8.146422832E9</v>
      </c>
      <c r="M67" s="6">
        <v>9.501904097E9</v>
      </c>
      <c r="N67" s="6">
        <v>9.877537745E9</v>
      </c>
      <c r="O67" s="32">
        <v>38704.0</v>
      </c>
      <c r="P67" s="6" t="s">
        <v>1099</v>
      </c>
      <c r="Q67" s="6" t="s">
        <v>1100</v>
      </c>
      <c r="R67" s="6" t="s">
        <v>135</v>
      </c>
      <c r="S67" s="6" t="s">
        <v>136</v>
      </c>
      <c r="T67" s="6">
        <v>143601.0</v>
      </c>
      <c r="U67" s="6" t="s">
        <v>138</v>
      </c>
      <c r="V67" s="6" t="s">
        <v>187</v>
      </c>
      <c r="W67" s="6" t="s">
        <v>141</v>
      </c>
      <c r="X67" s="6" t="s">
        <v>208</v>
      </c>
      <c r="Y67" s="6" t="s">
        <v>144</v>
      </c>
      <c r="Z67" s="26" t="s">
        <v>80</v>
      </c>
      <c r="AA67" s="22" t="s">
        <v>940</v>
      </c>
      <c r="AB67" s="28"/>
      <c r="AC67" s="28"/>
      <c r="AD67" s="7"/>
      <c r="AE67" s="7"/>
      <c r="AF67" s="30" t="s">
        <v>1104</v>
      </c>
    </row>
    <row r="68">
      <c r="A68" s="15">
        <v>67.0</v>
      </c>
      <c r="B68" s="16" t="s">
        <v>113</v>
      </c>
      <c r="C68" s="17" t="s">
        <v>116</v>
      </c>
      <c r="D68" s="6">
        <v>2.024010093342E12</v>
      </c>
      <c r="E68" s="6">
        <v>1.124242478E10</v>
      </c>
      <c r="F68" s="6" t="s">
        <v>1106</v>
      </c>
      <c r="G68" s="6" t="s">
        <v>603</v>
      </c>
      <c r="H68" s="6" t="s">
        <v>220</v>
      </c>
      <c r="I68" s="6" t="s">
        <v>126</v>
      </c>
      <c r="J68" s="6" t="s">
        <v>1108</v>
      </c>
      <c r="K68" s="6" t="s">
        <v>1109</v>
      </c>
      <c r="L68" s="6">
        <v>9.872819623E9</v>
      </c>
      <c r="M68" s="6">
        <v>9.779123041E9</v>
      </c>
      <c r="N68" s="6">
        <v>9.779123041E9</v>
      </c>
      <c r="O68" s="32">
        <v>39038.0</v>
      </c>
      <c r="P68" s="6" t="s">
        <v>1110</v>
      </c>
      <c r="Q68" s="6" t="s">
        <v>1111</v>
      </c>
      <c r="R68" s="6" t="s">
        <v>1112</v>
      </c>
      <c r="S68" s="6" t="s">
        <v>136</v>
      </c>
      <c r="T68" s="6">
        <v>143601.0</v>
      </c>
      <c r="U68" s="6" t="s">
        <v>138</v>
      </c>
      <c r="V68" s="6" t="s">
        <v>187</v>
      </c>
      <c r="W68" s="6" t="s">
        <v>141</v>
      </c>
      <c r="X68" s="6" t="s">
        <v>208</v>
      </c>
      <c r="Y68" s="6" t="s">
        <v>144</v>
      </c>
      <c r="Z68" s="26" t="s">
        <v>80</v>
      </c>
      <c r="AA68" s="22" t="s">
        <v>940</v>
      </c>
      <c r="AB68" s="28"/>
      <c r="AC68" s="28"/>
      <c r="AD68" s="7"/>
      <c r="AE68" s="7"/>
      <c r="AF68" s="30" t="s">
        <v>1116</v>
      </c>
    </row>
    <row r="69">
      <c r="A69" s="15">
        <v>68.0</v>
      </c>
      <c r="B69" s="16" t="s">
        <v>113</v>
      </c>
      <c r="C69" s="17" t="s">
        <v>116</v>
      </c>
      <c r="D69" s="6">
        <v>2.024010093359E12</v>
      </c>
      <c r="E69" s="6">
        <v>1.1242424781E10</v>
      </c>
      <c r="F69" s="6" t="s">
        <v>448</v>
      </c>
      <c r="G69" s="6" t="s">
        <v>1118</v>
      </c>
      <c r="H69" s="6" t="s">
        <v>1119</v>
      </c>
      <c r="I69" s="6" t="s">
        <v>126</v>
      </c>
      <c r="J69" s="6" t="s">
        <v>1120</v>
      </c>
      <c r="K69" s="6" t="s">
        <v>1121</v>
      </c>
      <c r="L69" s="6">
        <v>8.699063951E9</v>
      </c>
      <c r="M69" s="6">
        <v>9.592129708E9</v>
      </c>
      <c r="N69" s="6">
        <v>8.699063951E9</v>
      </c>
      <c r="O69" s="23">
        <v>39264.0</v>
      </c>
      <c r="P69" s="6" t="s">
        <v>1122</v>
      </c>
      <c r="Q69" s="6" t="s">
        <v>1124</v>
      </c>
      <c r="R69" s="6" t="s">
        <v>437</v>
      </c>
      <c r="S69" s="6" t="s">
        <v>136</v>
      </c>
      <c r="T69" s="6">
        <v>143401.0</v>
      </c>
      <c r="U69" s="6" t="s">
        <v>138</v>
      </c>
      <c r="V69" s="6" t="s">
        <v>187</v>
      </c>
      <c r="W69" s="6" t="s">
        <v>141</v>
      </c>
      <c r="X69" s="6" t="s">
        <v>208</v>
      </c>
      <c r="Y69" s="6" t="s">
        <v>144</v>
      </c>
      <c r="Z69" s="26" t="s">
        <v>80</v>
      </c>
      <c r="AA69" s="22" t="s">
        <v>940</v>
      </c>
      <c r="AB69" s="28"/>
      <c r="AC69" s="28"/>
      <c r="AD69" s="7"/>
      <c r="AE69" s="7"/>
      <c r="AF69" s="30" t="s">
        <v>1127</v>
      </c>
    </row>
    <row r="70">
      <c r="A70" s="15">
        <v>69.0</v>
      </c>
      <c r="B70" s="16" t="s">
        <v>113</v>
      </c>
      <c r="C70" s="17" t="s">
        <v>116</v>
      </c>
      <c r="D70" s="6">
        <v>2.024010093428E12</v>
      </c>
      <c r="E70" s="6">
        <v>1.1242424782E10</v>
      </c>
      <c r="F70" s="6" t="s">
        <v>1128</v>
      </c>
      <c r="G70" s="6" t="s">
        <v>1129</v>
      </c>
      <c r="H70" s="6" t="s">
        <v>491</v>
      </c>
      <c r="I70" s="6" t="s">
        <v>126</v>
      </c>
      <c r="J70" s="6" t="s">
        <v>1130</v>
      </c>
      <c r="K70" s="6">
        <v>123456.0</v>
      </c>
      <c r="L70" s="6">
        <v>9.041088475E9</v>
      </c>
      <c r="M70" s="6">
        <v>9.463910094E9</v>
      </c>
      <c r="N70" s="6">
        <v>9.530737608E9</v>
      </c>
      <c r="O70" s="23">
        <v>38727.0</v>
      </c>
      <c r="P70" s="6" t="s">
        <v>1135</v>
      </c>
      <c r="Q70" s="6" t="s">
        <v>1136</v>
      </c>
      <c r="R70" s="6" t="s">
        <v>609</v>
      </c>
      <c r="S70" s="6" t="s">
        <v>136</v>
      </c>
      <c r="T70" s="6">
        <v>143521.0</v>
      </c>
      <c r="U70" s="6" t="s">
        <v>169</v>
      </c>
      <c r="V70" s="6" t="s">
        <v>187</v>
      </c>
      <c r="W70" s="6" t="s">
        <v>141</v>
      </c>
      <c r="X70" s="6" t="s">
        <v>965</v>
      </c>
      <c r="Y70" s="6" t="s">
        <v>144</v>
      </c>
      <c r="Z70" s="28"/>
      <c r="AA70" s="22" t="s">
        <v>940</v>
      </c>
      <c r="AB70" s="28"/>
      <c r="AC70" s="28"/>
      <c r="AD70" s="7"/>
      <c r="AE70" s="7"/>
      <c r="AF70" s="30" t="s">
        <v>1138</v>
      </c>
    </row>
    <row r="71">
      <c r="A71" s="15">
        <v>70.0</v>
      </c>
      <c r="B71" s="16" t="s">
        <v>113</v>
      </c>
      <c r="C71" s="17" t="s">
        <v>116</v>
      </c>
      <c r="D71" s="6">
        <v>2.024010093447E12</v>
      </c>
      <c r="E71" s="6">
        <v>1.1242424783E10</v>
      </c>
      <c r="F71" s="6" t="s">
        <v>1060</v>
      </c>
      <c r="G71" s="6" t="s">
        <v>408</v>
      </c>
      <c r="H71" s="6" t="s">
        <v>1141</v>
      </c>
      <c r="I71" s="6" t="s">
        <v>126</v>
      </c>
      <c r="J71" s="6" t="s">
        <v>1144</v>
      </c>
      <c r="K71" s="6" t="s">
        <v>1145</v>
      </c>
      <c r="L71" s="6">
        <v>7.743047936E9</v>
      </c>
      <c r="M71" s="6">
        <v>8.364509061E9</v>
      </c>
      <c r="N71" s="6">
        <v>9.878004095E9</v>
      </c>
      <c r="O71" s="32">
        <v>38367.0</v>
      </c>
      <c r="P71" s="6" t="s">
        <v>1147</v>
      </c>
      <c r="Q71" s="6" t="s">
        <v>1148</v>
      </c>
      <c r="R71" s="6" t="s">
        <v>1149</v>
      </c>
      <c r="S71" s="6" t="s">
        <v>136</v>
      </c>
      <c r="T71" s="6">
        <v>152026.0</v>
      </c>
      <c r="U71" s="6" t="s">
        <v>169</v>
      </c>
      <c r="V71" s="6" t="s">
        <v>187</v>
      </c>
      <c r="W71" s="6" t="s">
        <v>141</v>
      </c>
      <c r="X71" s="6" t="s">
        <v>965</v>
      </c>
      <c r="Y71" s="6" t="s">
        <v>144</v>
      </c>
      <c r="Z71" s="28"/>
      <c r="AA71" s="22" t="s">
        <v>940</v>
      </c>
      <c r="AB71" s="28"/>
      <c r="AC71" s="28"/>
      <c r="AD71" s="7"/>
      <c r="AE71" s="7"/>
      <c r="AF71" s="30" t="s">
        <v>1150</v>
      </c>
    </row>
    <row r="72">
      <c r="A72" s="15">
        <v>71.0</v>
      </c>
      <c r="B72" s="16" t="s">
        <v>113</v>
      </c>
      <c r="C72" s="17" t="s">
        <v>116</v>
      </c>
      <c r="D72" s="6">
        <v>2.024010093617E12</v>
      </c>
      <c r="E72" s="6">
        <v>1.1242424784E10</v>
      </c>
      <c r="F72" s="6" t="s">
        <v>1153</v>
      </c>
      <c r="G72" s="6" t="s">
        <v>318</v>
      </c>
      <c r="H72" s="6" t="s">
        <v>430</v>
      </c>
      <c r="I72" s="6" t="s">
        <v>126</v>
      </c>
      <c r="J72" s="6" t="s">
        <v>1154</v>
      </c>
      <c r="K72" s="6">
        <v>123456.0</v>
      </c>
      <c r="L72" s="6">
        <v>9.646318233E9</v>
      </c>
      <c r="M72" s="6">
        <v>7.009711631E9</v>
      </c>
      <c r="N72" s="6">
        <v>7.009711631E9</v>
      </c>
      <c r="O72" s="23">
        <v>38962.0</v>
      </c>
      <c r="P72" s="6" t="s">
        <v>1156</v>
      </c>
      <c r="Q72" s="6" t="s">
        <v>1157</v>
      </c>
      <c r="R72" s="6" t="s">
        <v>437</v>
      </c>
      <c r="S72" s="6" t="s">
        <v>136</v>
      </c>
      <c r="T72" s="6">
        <v>143401.0</v>
      </c>
      <c r="U72" s="6" t="s">
        <v>138</v>
      </c>
      <c r="V72" s="6" t="s">
        <v>187</v>
      </c>
      <c r="W72" s="6" t="s">
        <v>141</v>
      </c>
      <c r="X72" s="6" t="s">
        <v>208</v>
      </c>
      <c r="Y72" s="6" t="s">
        <v>144</v>
      </c>
      <c r="Z72" s="6" t="s">
        <v>80</v>
      </c>
      <c r="AA72" s="22" t="s">
        <v>940</v>
      </c>
      <c r="AB72" s="28"/>
      <c r="AC72" s="28"/>
      <c r="AD72" s="7"/>
      <c r="AE72" s="7"/>
      <c r="AF72" s="30" t="s">
        <v>1160</v>
      </c>
    </row>
    <row r="73">
      <c r="A73" s="15">
        <v>72.0</v>
      </c>
      <c r="B73" s="16" t="s">
        <v>113</v>
      </c>
      <c r="C73" s="17" t="s">
        <v>116</v>
      </c>
      <c r="D73" s="6">
        <v>2.024010093635E12</v>
      </c>
      <c r="E73" s="6">
        <v>1.1242424786E10</v>
      </c>
      <c r="F73" s="6" t="s">
        <v>1060</v>
      </c>
      <c r="G73" s="6" t="s">
        <v>789</v>
      </c>
      <c r="H73" s="6" t="s">
        <v>668</v>
      </c>
      <c r="I73" s="6" t="s">
        <v>126</v>
      </c>
      <c r="J73" s="6" t="s">
        <v>1164</v>
      </c>
      <c r="K73" s="6" t="s">
        <v>1165</v>
      </c>
      <c r="L73" s="6">
        <v>7.527945696E9</v>
      </c>
      <c r="M73" s="6">
        <v>7.527945696E9</v>
      </c>
      <c r="N73" s="6">
        <v>9.915484158E9</v>
      </c>
      <c r="O73" s="23">
        <v>38507.0</v>
      </c>
      <c r="P73" s="6" t="s">
        <v>1166</v>
      </c>
      <c r="Q73" s="6" t="s">
        <v>1167</v>
      </c>
      <c r="R73" s="6" t="s">
        <v>135</v>
      </c>
      <c r="S73" s="6" t="s">
        <v>136</v>
      </c>
      <c r="T73" s="6">
        <v>143001.0</v>
      </c>
      <c r="U73" s="6" t="s">
        <v>321</v>
      </c>
      <c r="V73" s="6" t="s">
        <v>187</v>
      </c>
      <c r="W73" s="6" t="s">
        <v>141</v>
      </c>
      <c r="X73" s="6" t="s">
        <v>143</v>
      </c>
      <c r="Y73" s="6" t="s">
        <v>144</v>
      </c>
      <c r="Z73" s="28"/>
      <c r="AA73" s="22" t="s">
        <v>940</v>
      </c>
      <c r="AB73" s="28"/>
      <c r="AC73" s="28"/>
      <c r="AD73" s="7"/>
      <c r="AE73" s="7"/>
      <c r="AF73" s="30" t="s">
        <v>1168</v>
      </c>
    </row>
    <row r="74">
      <c r="A74" s="15">
        <v>73.0</v>
      </c>
      <c r="B74" s="16" t="s">
        <v>113</v>
      </c>
      <c r="C74" s="17" t="s">
        <v>116</v>
      </c>
      <c r="D74" s="6">
        <v>2.024010093653E12</v>
      </c>
      <c r="E74" s="6">
        <v>1.1242424787E10</v>
      </c>
      <c r="F74" s="6" t="s">
        <v>1171</v>
      </c>
      <c r="G74" s="6" t="s">
        <v>528</v>
      </c>
      <c r="H74" s="6" t="s">
        <v>1172</v>
      </c>
      <c r="I74" s="6" t="s">
        <v>126</v>
      </c>
      <c r="J74" s="6" t="s">
        <v>1174</v>
      </c>
      <c r="K74" s="6">
        <v>123456.0</v>
      </c>
      <c r="L74" s="6">
        <v>7.837648647E9</v>
      </c>
      <c r="M74" s="6">
        <v>9.780576486E9</v>
      </c>
      <c r="N74" s="6">
        <v>7.589210112E9</v>
      </c>
      <c r="O74" s="23">
        <v>38385.0</v>
      </c>
      <c r="P74" s="6" t="s">
        <v>1175</v>
      </c>
      <c r="Q74" s="6" t="s">
        <v>1176</v>
      </c>
      <c r="R74" s="6" t="s">
        <v>470</v>
      </c>
      <c r="S74" s="6" t="s">
        <v>136</v>
      </c>
      <c r="T74" s="6">
        <v>143416.0</v>
      </c>
      <c r="U74" s="6" t="s">
        <v>138</v>
      </c>
      <c r="V74" s="6" t="s">
        <v>187</v>
      </c>
      <c r="W74" s="6" t="s">
        <v>141</v>
      </c>
      <c r="X74" s="6" t="s">
        <v>208</v>
      </c>
      <c r="Y74" s="6" t="s">
        <v>144</v>
      </c>
      <c r="Z74" s="6" t="s">
        <v>80</v>
      </c>
      <c r="AA74" s="22" t="s">
        <v>940</v>
      </c>
      <c r="AB74" s="28"/>
      <c r="AC74" s="28"/>
      <c r="AD74" s="7"/>
      <c r="AE74" s="7"/>
      <c r="AF74" s="7"/>
    </row>
    <row r="75">
      <c r="A75" s="15">
        <v>74.0</v>
      </c>
      <c r="B75" s="16" t="s">
        <v>113</v>
      </c>
      <c r="C75" s="17" t="s">
        <v>116</v>
      </c>
      <c r="D75" s="6">
        <v>2.024010093658E12</v>
      </c>
      <c r="E75" s="6">
        <v>1.1242424788E10</v>
      </c>
      <c r="F75" s="6" t="s">
        <v>1180</v>
      </c>
      <c r="G75" s="6" t="s">
        <v>1181</v>
      </c>
      <c r="H75" s="6" t="s">
        <v>1183</v>
      </c>
      <c r="I75" s="6" t="s">
        <v>126</v>
      </c>
      <c r="J75" s="6" t="s">
        <v>1184</v>
      </c>
      <c r="K75" s="6">
        <v>123456.0</v>
      </c>
      <c r="L75" s="6">
        <v>9.914415316E9</v>
      </c>
      <c r="M75" s="6">
        <v>9.779105312E9</v>
      </c>
      <c r="N75" s="6">
        <v>7.009695956E9</v>
      </c>
      <c r="O75" s="32">
        <v>39041.0</v>
      </c>
      <c r="P75" s="6" t="s">
        <v>1185</v>
      </c>
      <c r="Q75" s="6" t="s">
        <v>1186</v>
      </c>
      <c r="R75" s="6" t="s">
        <v>1187</v>
      </c>
      <c r="S75" s="6" t="s">
        <v>136</v>
      </c>
      <c r="T75" s="6">
        <v>152024.0</v>
      </c>
      <c r="U75" s="6" t="s">
        <v>138</v>
      </c>
      <c r="V75" s="6" t="s">
        <v>187</v>
      </c>
      <c r="W75" s="6" t="s">
        <v>141</v>
      </c>
      <c r="X75" s="6" t="s">
        <v>229</v>
      </c>
      <c r="Y75" s="6" t="s">
        <v>144</v>
      </c>
      <c r="Z75" s="6" t="s">
        <v>80</v>
      </c>
      <c r="AA75" s="22" t="s">
        <v>940</v>
      </c>
      <c r="AB75" s="28"/>
      <c r="AC75" s="28"/>
      <c r="AD75" s="7"/>
      <c r="AE75" s="7"/>
      <c r="AF75" s="30" t="s">
        <v>1190</v>
      </c>
    </row>
    <row r="76">
      <c r="A76" s="15">
        <v>75.0</v>
      </c>
      <c r="B76" s="16" t="s">
        <v>113</v>
      </c>
      <c r="C76" s="17" t="s">
        <v>116</v>
      </c>
      <c r="D76" s="6">
        <v>2.024010093673E12</v>
      </c>
      <c r="E76" s="6">
        <v>1.1242424789E10</v>
      </c>
      <c r="F76" s="6" t="s">
        <v>1192</v>
      </c>
      <c r="G76" s="6" t="s">
        <v>844</v>
      </c>
      <c r="H76" s="6" t="s">
        <v>1193</v>
      </c>
      <c r="I76" s="6" t="s">
        <v>126</v>
      </c>
      <c r="J76" s="6" t="s">
        <v>1194</v>
      </c>
      <c r="K76" s="6">
        <v>123456.0</v>
      </c>
      <c r="L76" s="6">
        <v>9.779703662E9</v>
      </c>
      <c r="M76" s="6">
        <v>9.779016662E9</v>
      </c>
      <c r="N76" s="6">
        <v>9.803113887E9</v>
      </c>
      <c r="O76" s="23">
        <v>39730.0</v>
      </c>
      <c r="P76" s="6" t="s">
        <v>1197</v>
      </c>
      <c r="Q76" s="6" t="s">
        <v>1199</v>
      </c>
      <c r="R76" s="6" t="s">
        <v>437</v>
      </c>
      <c r="S76" s="6" t="s">
        <v>136</v>
      </c>
      <c r="T76" s="6">
        <v>143117.0</v>
      </c>
      <c r="U76" s="6" t="s">
        <v>138</v>
      </c>
      <c r="V76" s="6" t="s">
        <v>187</v>
      </c>
      <c r="W76" s="6" t="s">
        <v>141</v>
      </c>
      <c r="X76" s="6" t="s">
        <v>143</v>
      </c>
      <c r="Y76" s="6" t="s">
        <v>144</v>
      </c>
      <c r="Z76" s="6" t="s">
        <v>80</v>
      </c>
      <c r="AA76" s="22" t="s">
        <v>940</v>
      </c>
      <c r="AB76" s="28"/>
      <c r="AC76" s="28"/>
      <c r="AD76" s="7"/>
      <c r="AE76" s="7"/>
      <c r="AF76" s="30" t="s">
        <v>1202</v>
      </c>
    </row>
    <row r="77">
      <c r="A77" s="15">
        <v>76.0</v>
      </c>
      <c r="B77" s="16" t="s">
        <v>113</v>
      </c>
      <c r="C77" s="17" t="s">
        <v>116</v>
      </c>
      <c r="D77" s="6">
        <v>2.024010094018E12</v>
      </c>
      <c r="E77" s="6">
        <v>1.124242479E10</v>
      </c>
      <c r="F77" s="6" t="s">
        <v>1203</v>
      </c>
      <c r="G77" s="6" t="s">
        <v>1204</v>
      </c>
      <c r="H77" s="6" t="s">
        <v>1205</v>
      </c>
      <c r="I77" s="6" t="s">
        <v>126</v>
      </c>
      <c r="J77" s="6" t="s">
        <v>1206</v>
      </c>
      <c r="K77" s="6">
        <v>123456.0</v>
      </c>
      <c r="L77" s="6">
        <v>7.97343479E9</v>
      </c>
      <c r="M77" s="6">
        <v>6.2393936E9</v>
      </c>
      <c r="N77" s="6">
        <v>6.2393936E9</v>
      </c>
      <c r="O77" s="23">
        <v>38728.0</v>
      </c>
      <c r="P77" s="6" t="s">
        <v>1207</v>
      </c>
      <c r="Q77" s="6" t="s">
        <v>1209</v>
      </c>
      <c r="R77" s="6" t="s">
        <v>135</v>
      </c>
      <c r="S77" s="6" t="s">
        <v>136</v>
      </c>
      <c r="T77" s="6">
        <v>143205.0</v>
      </c>
      <c r="U77" s="6" t="s">
        <v>138</v>
      </c>
      <c r="V77" s="6" t="s">
        <v>187</v>
      </c>
      <c r="W77" s="6" t="s">
        <v>141</v>
      </c>
      <c r="X77" s="6" t="s">
        <v>506</v>
      </c>
      <c r="Y77" s="6" t="s">
        <v>144</v>
      </c>
      <c r="Z77" s="6" t="s">
        <v>80</v>
      </c>
      <c r="AA77" s="22" t="s">
        <v>940</v>
      </c>
      <c r="AB77" s="28"/>
      <c r="AC77" s="28"/>
      <c r="AD77" s="7"/>
      <c r="AE77" s="7"/>
      <c r="AF77" s="30" t="s">
        <v>1214</v>
      </c>
    </row>
    <row r="78">
      <c r="A78" s="15">
        <v>77.0</v>
      </c>
      <c r="B78" s="16" t="s">
        <v>113</v>
      </c>
      <c r="C78" s="17" t="s">
        <v>116</v>
      </c>
      <c r="D78" s="6">
        <v>2.024010094033E12</v>
      </c>
      <c r="E78" s="6">
        <v>1.1242424791E10</v>
      </c>
      <c r="F78" s="6" t="s">
        <v>1218</v>
      </c>
      <c r="G78" s="6" t="s">
        <v>299</v>
      </c>
      <c r="H78" s="6" t="s">
        <v>1169</v>
      </c>
      <c r="I78" s="6" t="s">
        <v>126</v>
      </c>
      <c r="J78" s="6" t="s">
        <v>1220</v>
      </c>
      <c r="K78" s="30" t="s">
        <v>291</v>
      </c>
      <c r="L78" s="6">
        <v>7.69670349E9</v>
      </c>
      <c r="M78" s="6">
        <v>9.779554305E9</v>
      </c>
      <c r="N78" s="6">
        <v>6.28383339E9</v>
      </c>
      <c r="O78" s="32">
        <v>38887.0</v>
      </c>
      <c r="P78" s="6" t="s">
        <v>1222</v>
      </c>
      <c r="Q78" s="6" t="s">
        <v>1223</v>
      </c>
      <c r="R78" s="6" t="s">
        <v>716</v>
      </c>
      <c r="S78" s="6" t="s">
        <v>136</v>
      </c>
      <c r="T78" s="30" t="s">
        <v>1224</v>
      </c>
      <c r="U78" s="6" t="s">
        <v>321</v>
      </c>
      <c r="V78" s="6" t="s">
        <v>156</v>
      </c>
      <c r="W78" s="6" t="s">
        <v>141</v>
      </c>
      <c r="X78" s="6" t="s">
        <v>718</v>
      </c>
      <c r="Y78" s="6" t="s">
        <v>144</v>
      </c>
      <c r="Z78" s="7"/>
      <c r="AA78" s="22" t="s">
        <v>940</v>
      </c>
      <c r="AB78" s="7"/>
      <c r="AC78" s="7"/>
      <c r="AD78" s="7"/>
      <c r="AE78" s="7"/>
      <c r="AF78" s="30" t="s">
        <v>1228</v>
      </c>
    </row>
    <row r="79">
      <c r="A79" s="15">
        <v>78.0</v>
      </c>
      <c r="B79" s="16" t="s">
        <v>113</v>
      </c>
      <c r="C79" s="17" t="s">
        <v>116</v>
      </c>
      <c r="D79" s="6">
        <v>2.024010094058E12</v>
      </c>
      <c r="E79" s="6">
        <v>1.1242424793E10</v>
      </c>
      <c r="F79" s="6" t="s">
        <v>1230</v>
      </c>
      <c r="G79" s="6" t="s">
        <v>585</v>
      </c>
      <c r="H79" s="6" t="s">
        <v>1231</v>
      </c>
      <c r="I79" s="6" t="s">
        <v>126</v>
      </c>
      <c r="J79" s="6" t="s">
        <v>1232</v>
      </c>
      <c r="K79" s="6">
        <v>123456.0</v>
      </c>
      <c r="L79" s="6">
        <v>9.041603348E9</v>
      </c>
      <c r="M79" s="6">
        <v>8.427113594E9</v>
      </c>
      <c r="N79" s="55">
        <f>+919914045532</f>
        <v>919914045532</v>
      </c>
      <c r="O79" s="23">
        <v>38393.0</v>
      </c>
      <c r="P79" s="6" t="s">
        <v>1234</v>
      </c>
      <c r="Q79" s="6" t="s">
        <v>1236</v>
      </c>
      <c r="R79" s="6" t="s">
        <v>1237</v>
      </c>
      <c r="S79" s="6" t="s">
        <v>136</v>
      </c>
      <c r="T79" s="6">
        <v>143408.0</v>
      </c>
      <c r="U79" s="6" t="s">
        <v>169</v>
      </c>
      <c r="V79" s="6" t="s">
        <v>187</v>
      </c>
      <c r="W79" s="6" t="s">
        <v>141</v>
      </c>
      <c r="X79" s="6" t="s">
        <v>143</v>
      </c>
      <c r="Y79" s="6" t="s">
        <v>144</v>
      </c>
      <c r="Z79" s="28"/>
      <c r="AA79" s="22" t="s">
        <v>940</v>
      </c>
      <c r="AB79" s="28"/>
      <c r="AC79" s="28"/>
      <c r="AD79" s="7"/>
      <c r="AE79" s="7"/>
      <c r="AF79" s="30" t="s">
        <v>1239</v>
      </c>
    </row>
    <row r="80">
      <c r="A80" s="15">
        <v>79.0</v>
      </c>
      <c r="B80" s="16" t="s">
        <v>113</v>
      </c>
      <c r="C80" s="17" t="s">
        <v>116</v>
      </c>
      <c r="D80" s="6">
        <v>2.024010094062E12</v>
      </c>
      <c r="E80" s="6">
        <v>1.1242424794E10</v>
      </c>
      <c r="F80" s="6" t="s">
        <v>1241</v>
      </c>
      <c r="G80" s="6" t="s">
        <v>122</v>
      </c>
      <c r="H80" s="6" t="s">
        <v>1243</v>
      </c>
      <c r="I80" s="6" t="s">
        <v>126</v>
      </c>
      <c r="J80" s="6" t="s">
        <v>1245</v>
      </c>
      <c r="K80" s="6">
        <v>123456.0</v>
      </c>
      <c r="L80" s="6">
        <v>8.264961801E9</v>
      </c>
      <c r="M80" s="6">
        <v>9.988822018E9</v>
      </c>
      <c r="N80" s="6">
        <v>8.116170029E9</v>
      </c>
      <c r="O80" s="23">
        <v>38484.0</v>
      </c>
      <c r="P80" s="6" t="s">
        <v>1247</v>
      </c>
      <c r="Q80" s="6" t="s">
        <v>1248</v>
      </c>
      <c r="R80" s="6" t="s">
        <v>135</v>
      </c>
      <c r="S80" s="6" t="s">
        <v>136</v>
      </c>
      <c r="T80" s="6">
        <v>143601.0</v>
      </c>
      <c r="U80" s="6" t="s">
        <v>138</v>
      </c>
      <c r="V80" s="6" t="s">
        <v>187</v>
      </c>
      <c r="W80" s="6" t="s">
        <v>141</v>
      </c>
      <c r="X80" s="6" t="s">
        <v>229</v>
      </c>
      <c r="Y80" s="6" t="s">
        <v>144</v>
      </c>
      <c r="Z80" s="6" t="s">
        <v>80</v>
      </c>
      <c r="AA80" s="22" t="s">
        <v>940</v>
      </c>
      <c r="AB80" s="28"/>
      <c r="AC80" s="28"/>
      <c r="AD80" s="7"/>
      <c r="AE80" s="7"/>
      <c r="AF80" s="30" t="s">
        <v>1249</v>
      </c>
    </row>
    <row r="81">
      <c r="A81" s="15">
        <v>80.0</v>
      </c>
      <c r="B81" s="16" t="s">
        <v>113</v>
      </c>
      <c r="C81" s="17" t="s">
        <v>116</v>
      </c>
      <c r="D81" s="6">
        <v>2.024010094092E12</v>
      </c>
      <c r="E81" s="6">
        <v>1.1242424796E10</v>
      </c>
      <c r="F81" s="6" t="s">
        <v>603</v>
      </c>
      <c r="G81" s="6" t="s">
        <v>1252</v>
      </c>
      <c r="H81" s="6" t="s">
        <v>1253</v>
      </c>
      <c r="I81" s="6" t="s">
        <v>164</v>
      </c>
      <c r="J81" s="6" t="s">
        <v>1255</v>
      </c>
      <c r="K81" s="6">
        <v>1234.0</v>
      </c>
      <c r="L81" s="6">
        <v>6.284506075E9</v>
      </c>
      <c r="M81" s="6">
        <v>8.288806275E9</v>
      </c>
      <c r="N81" s="6">
        <v>8.288806275E9</v>
      </c>
      <c r="O81" s="6" t="s">
        <v>1256</v>
      </c>
      <c r="P81" s="6" t="s">
        <v>1257</v>
      </c>
      <c r="Q81" s="6" t="s">
        <v>1258</v>
      </c>
      <c r="R81" s="6" t="s">
        <v>1259</v>
      </c>
      <c r="S81" s="6" t="s">
        <v>136</v>
      </c>
      <c r="T81" s="6">
        <v>143115.0</v>
      </c>
      <c r="U81" s="6" t="s">
        <v>138</v>
      </c>
      <c r="V81" s="6" t="s">
        <v>140</v>
      </c>
      <c r="W81" s="6" t="s">
        <v>141</v>
      </c>
      <c r="X81" s="6" t="s">
        <v>143</v>
      </c>
      <c r="Y81" s="6" t="s">
        <v>144</v>
      </c>
      <c r="Z81" s="6" t="s">
        <v>80</v>
      </c>
      <c r="AA81" s="22" t="s">
        <v>940</v>
      </c>
      <c r="AB81" s="28"/>
      <c r="AC81" s="28"/>
      <c r="AD81" s="7"/>
      <c r="AE81" s="7"/>
      <c r="AF81" s="7"/>
    </row>
    <row r="82">
      <c r="A82" s="15">
        <v>81.0</v>
      </c>
      <c r="B82" s="16" t="s">
        <v>113</v>
      </c>
      <c r="C82" s="17" t="s">
        <v>116</v>
      </c>
      <c r="D82" s="6">
        <v>2.024010094111E12</v>
      </c>
      <c r="E82" s="6">
        <v>1.1242424797E10</v>
      </c>
      <c r="F82" s="6" t="s">
        <v>1264</v>
      </c>
      <c r="G82" s="6" t="s">
        <v>1265</v>
      </c>
      <c r="H82" s="6" t="s">
        <v>1266</v>
      </c>
      <c r="I82" s="6" t="s">
        <v>164</v>
      </c>
      <c r="J82" s="6" t="s">
        <v>1267</v>
      </c>
      <c r="K82" s="6" t="s">
        <v>1268</v>
      </c>
      <c r="L82" s="6">
        <v>8.0008961E9</v>
      </c>
      <c r="M82" s="6">
        <v>9.501055952E9</v>
      </c>
      <c r="N82" s="6">
        <v>8.0008951E9</v>
      </c>
      <c r="O82" s="23">
        <v>39672.0</v>
      </c>
      <c r="P82" s="6" t="s">
        <v>1269</v>
      </c>
      <c r="Q82" s="6" t="s">
        <v>1270</v>
      </c>
      <c r="R82" s="6" t="s">
        <v>135</v>
      </c>
      <c r="S82" s="6" t="s">
        <v>136</v>
      </c>
      <c r="T82" s="6">
        <v>143149.0</v>
      </c>
      <c r="U82" s="6" t="s">
        <v>169</v>
      </c>
      <c r="V82" s="6" t="s">
        <v>140</v>
      </c>
      <c r="W82" s="6" t="s">
        <v>141</v>
      </c>
      <c r="X82" s="6" t="s">
        <v>208</v>
      </c>
      <c r="Y82" s="6" t="s">
        <v>144</v>
      </c>
      <c r="Z82" s="28"/>
      <c r="AA82" s="22" t="s">
        <v>940</v>
      </c>
      <c r="AB82" s="28"/>
      <c r="AC82" s="28"/>
      <c r="AD82" s="7"/>
      <c r="AE82" s="7"/>
      <c r="AF82" s="30" t="s">
        <v>1276</v>
      </c>
    </row>
    <row r="83">
      <c r="A83" s="15">
        <v>82.0</v>
      </c>
      <c r="B83" s="16" t="s">
        <v>113</v>
      </c>
      <c r="C83" s="17" t="s">
        <v>116</v>
      </c>
      <c r="D83" s="6">
        <v>2.024010094118E12</v>
      </c>
      <c r="E83" s="6">
        <v>1.1242424798E10</v>
      </c>
      <c r="F83" s="6" t="s">
        <v>1277</v>
      </c>
      <c r="G83" s="6" t="s">
        <v>1278</v>
      </c>
      <c r="H83" s="6" t="s">
        <v>1011</v>
      </c>
      <c r="I83" s="6" t="s">
        <v>126</v>
      </c>
      <c r="J83" s="6" t="s">
        <v>1279</v>
      </c>
      <c r="K83" s="6">
        <v>123456.0</v>
      </c>
      <c r="L83" s="6">
        <v>7.901881381E9</v>
      </c>
      <c r="M83" s="6">
        <v>7.901881381E9</v>
      </c>
      <c r="N83" s="6">
        <v>7.901881381E9</v>
      </c>
      <c r="O83" s="23">
        <v>38395.0</v>
      </c>
      <c r="P83" s="6" t="s">
        <v>1280</v>
      </c>
      <c r="Q83" s="6" t="s">
        <v>1281</v>
      </c>
      <c r="R83" s="6" t="s">
        <v>437</v>
      </c>
      <c r="S83" s="6" t="s">
        <v>136</v>
      </c>
      <c r="T83" s="6">
        <v>143401.0</v>
      </c>
      <c r="U83" s="6" t="s">
        <v>138</v>
      </c>
      <c r="V83" s="6" t="s">
        <v>187</v>
      </c>
      <c r="W83" s="6" t="s">
        <v>141</v>
      </c>
      <c r="X83" s="6" t="s">
        <v>965</v>
      </c>
      <c r="Y83" s="6" t="s">
        <v>144</v>
      </c>
      <c r="Z83" s="6" t="s">
        <v>80</v>
      </c>
      <c r="AA83" s="22" t="s">
        <v>940</v>
      </c>
      <c r="AB83" s="28"/>
      <c r="AC83" s="28"/>
      <c r="AD83" s="7"/>
      <c r="AE83" s="7"/>
      <c r="AF83" s="30" t="s">
        <v>1285</v>
      </c>
    </row>
    <row r="84">
      <c r="A84" s="15">
        <v>83.0</v>
      </c>
      <c r="B84" s="16" t="s">
        <v>113</v>
      </c>
      <c r="C84" s="17" t="s">
        <v>116</v>
      </c>
      <c r="D84" s="6">
        <v>2.024010094155E12</v>
      </c>
      <c r="E84" s="6">
        <v>1.1242424799E10</v>
      </c>
      <c r="F84" s="6" t="s">
        <v>1286</v>
      </c>
      <c r="G84" s="6" t="s">
        <v>807</v>
      </c>
      <c r="H84" s="6" t="s">
        <v>309</v>
      </c>
      <c r="I84" s="6" t="s">
        <v>126</v>
      </c>
      <c r="J84" s="6" t="s">
        <v>1287</v>
      </c>
      <c r="K84" s="6">
        <v>123456.0</v>
      </c>
      <c r="L84" s="6">
        <v>8.872961376E9</v>
      </c>
      <c r="M84" s="6">
        <v>9.914880099E9</v>
      </c>
      <c r="N84" s="6">
        <v>9.041125785E9</v>
      </c>
      <c r="O84" s="23">
        <v>39119.0</v>
      </c>
      <c r="P84" s="6" t="s">
        <v>1289</v>
      </c>
      <c r="Q84" s="6" t="s">
        <v>1292</v>
      </c>
      <c r="R84" s="6" t="s">
        <v>437</v>
      </c>
      <c r="S84" s="6" t="s">
        <v>136</v>
      </c>
      <c r="T84" s="6">
        <v>143401.0</v>
      </c>
      <c r="U84" s="6" t="s">
        <v>169</v>
      </c>
      <c r="V84" s="6" t="s">
        <v>187</v>
      </c>
      <c r="W84" s="6" t="s">
        <v>141</v>
      </c>
      <c r="X84" s="6" t="s">
        <v>208</v>
      </c>
      <c r="Y84" s="6" t="s">
        <v>144</v>
      </c>
      <c r="Z84" s="28"/>
      <c r="AA84" s="22" t="s">
        <v>940</v>
      </c>
      <c r="AB84" s="28"/>
      <c r="AC84" s="28"/>
      <c r="AD84" s="7"/>
      <c r="AE84" s="7"/>
      <c r="AF84" s="30" t="s">
        <v>1295</v>
      </c>
    </row>
    <row r="85">
      <c r="A85" s="15">
        <v>84.0</v>
      </c>
      <c r="B85" s="16" t="s">
        <v>113</v>
      </c>
      <c r="C85" s="17" t="s">
        <v>116</v>
      </c>
      <c r="D85" s="6">
        <v>2.024010094166E12</v>
      </c>
      <c r="E85" s="6">
        <v>1.12424248E10</v>
      </c>
      <c r="F85" s="6" t="s">
        <v>1296</v>
      </c>
      <c r="G85" s="6" t="s">
        <v>1297</v>
      </c>
      <c r="H85" s="6" t="s">
        <v>699</v>
      </c>
      <c r="I85" s="6" t="s">
        <v>126</v>
      </c>
      <c r="J85" s="6" t="s">
        <v>1298</v>
      </c>
      <c r="K85" s="6">
        <v>123456.0</v>
      </c>
      <c r="L85" s="6">
        <v>7.814705759E9</v>
      </c>
      <c r="M85" s="6">
        <v>6.239913755E9</v>
      </c>
      <c r="N85" s="6">
        <v>8.847626362E9</v>
      </c>
      <c r="O85" s="32">
        <v>38741.0</v>
      </c>
      <c r="P85" s="6" t="s">
        <v>1303</v>
      </c>
      <c r="Q85" s="6" t="s">
        <v>1304</v>
      </c>
      <c r="R85" s="6" t="s">
        <v>246</v>
      </c>
      <c r="S85" s="6" t="s">
        <v>136</v>
      </c>
      <c r="T85" s="6">
        <v>145029.0</v>
      </c>
      <c r="U85" s="6" t="s">
        <v>169</v>
      </c>
      <c r="V85" s="6" t="s">
        <v>187</v>
      </c>
      <c r="W85" s="6" t="s">
        <v>141</v>
      </c>
      <c r="X85" s="6" t="s">
        <v>229</v>
      </c>
      <c r="Y85" s="6" t="s">
        <v>251</v>
      </c>
      <c r="Z85" s="28"/>
      <c r="AA85" s="22" t="s">
        <v>940</v>
      </c>
      <c r="AB85" s="28"/>
      <c r="AC85" s="28"/>
      <c r="AD85" s="7"/>
      <c r="AE85" s="7"/>
      <c r="AF85" s="30" t="s">
        <v>1306</v>
      </c>
    </row>
    <row r="86">
      <c r="A86" s="15">
        <v>85.0</v>
      </c>
      <c r="B86" s="16" t="s">
        <v>113</v>
      </c>
      <c r="C86" s="17" t="s">
        <v>116</v>
      </c>
      <c r="D86" s="6">
        <v>2.024010094211E12</v>
      </c>
      <c r="E86" s="6">
        <v>1.1242424801E10</v>
      </c>
      <c r="F86" s="6" t="s">
        <v>1022</v>
      </c>
      <c r="G86" s="6" t="s">
        <v>1308</v>
      </c>
      <c r="H86" s="6" t="s">
        <v>1309</v>
      </c>
      <c r="I86" s="6" t="s">
        <v>126</v>
      </c>
      <c r="J86" s="6" t="s">
        <v>1311</v>
      </c>
      <c r="K86" s="6">
        <v>123456.0</v>
      </c>
      <c r="L86" s="6">
        <v>7.90194353E9</v>
      </c>
      <c r="M86" s="6">
        <v>9.14597008E9</v>
      </c>
      <c r="N86" s="6">
        <v>9.501332276E9</v>
      </c>
      <c r="O86" s="32">
        <v>38532.0</v>
      </c>
      <c r="P86" s="6" t="s">
        <v>1313</v>
      </c>
      <c r="Q86" s="6" t="s">
        <v>1314</v>
      </c>
      <c r="R86" s="6" t="s">
        <v>609</v>
      </c>
      <c r="S86" s="6" t="s">
        <v>136</v>
      </c>
      <c r="T86" s="6">
        <v>143530.0</v>
      </c>
      <c r="U86" s="6" t="s">
        <v>321</v>
      </c>
      <c r="V86" s="6" t="s">
        <v>187</v>
      </c>
      <c r="W86" s="6" t="s">
        <v>141</v>
      </c>
      <c r="X86" s="6" t="s">
        <v>143</v>
      </c>
      <c r="Y86" s="6" t="s">
        <v>144</v>
      </c>
      <c r="Z86" s="28"/>
      <c r="AA86" s="22" t="s">
        <v>940</v>
      </c>
      <c r="AB86" s="28"/>
      <c r="AC86" s="28"/>
      <c r="AD86" s="7"/>
      <c r="AE86" s="7"/>
      <c r="AF86" s="30" t="s">
        <v>1315</v>
      </c>
    </row>
    <row r="87">
      <c r="A87" s="15">
        <v>86.0</v>
      </c>
      <c r="B87" s="16" t="s">
        <v>113</v>
      </c>
      <c r="C87" s="17" t="s">
        <v>116</v>
      </c>
      <c r="D87" s="6">
        <v>2.02401009426E12</v>
      </c>
      <c r="E87" s="6">
        <v>1.1242424802E10</v>
      </c>
      <c r="F87" s="6" t="s">
        <v>869</v>
      </c>
      <c r="G87" s="6" t="s">
        <v>1319</v>
      </c>
      <c r="H87" s="6" t="s">
        <v>202</v>
      </c>
      <c r="I87" s="6" t="s">
        <v>126</v>
      </c>
      <c r="J87" s="6" t="s">
        <v>1320</v>
      </c>
      <c r="K87" s="6">
        <v>1234567.0</v>
      </c>
      <c r="L87" s="6">
        <v>9.803900091E9</v>
      </c>
      <c r="M87" s="6">
        <v>9.872424491E9</v>
      </c>
      <c r="N87" s="6">
        <v>8.427863954E9</v>
      </c>
      <c r="O87" s="23">
        <v>38877.0</v>
      </c>
      <c r="P87" s="6" t="s">
        <v>1322</v>
      </c>
      <c r="Q87" s="6" t="s">
        <v>1323</v>
      </c>
      <c r="R87" s="6" t="s">
        <v>1324</v>
      </c>
      <c r="S87" s="6" t="s">
        <v>136</v>
      </c>
      <c r="T87" s="6">
        <v>151501.0</v>
      </c>
      <c r="U87" s="6" t="s">
        <v>169</v>
      </c>
      <c r="V87" s="6" t="s">
        <v>187</v>
      </c>
      <c r="W87" s="6" t="s">
        <v>141</v>
      </c>
      <c r="X87" s="6" t="s">
        <v>506</v>
      </c>
      <c r="Y87" s="6" t="s">
        <v>144</v>
      </c>
      <c r="Z87" s="28"/>
      <c r="AA87" s="22" t="s">
        <v>940</v>
      </c>
      <c r="AB87" s="28"/>
      <c r="AC87" s="28"/>
      <c r="AD87" s="7"/>
      <c r="AE87" s="7"/>
      <c r="AF87" s="30" t="s">
        <v>1326</v>
      </c>
    </row>
    <row r="88">
      <c r="A88" s="15">
        <v>87.0</v>
      </c>
      <c r="B88" s="16" t="s">
        <v>113</v>
      </c>
      <c r="C88" s="17" t="s">
        <v>116</v>
      </c>
      <c r="D88" s="6">
        <v>2.024010094272E12</v>
      </c>
      <c r="E88" s="6">
        <v>1.1242424803E10</v>
      </c>
      <c r="F88" s="6" t="s">
        <v>1328</v>
      </c>
      <c r="G88" s="6" t="s">
        <v>299</v>
      </c>
      <c r="H88" s="6" t="s">
        <v>1119</v>
      </c>
      <c r="I88" s="6" t="s">
        <v>126</v>
      </c>
      <c r="J88" s="6" t="s">
        <v>1330</v>
      </c>
      <c r="K88" s="6">
        <v>123456.0</v>
      </c>
      <c r="L88" s="6">
        <v>9.501695447E9</v>
      </c>
      <c r="M88" s="6">
        <v>9.592631447E9</v>
      </c>
      <c r="N88" s="6">
        <v>8.196884974E9</v>
      </c>
      <c r="O88" s="83">
        <v>36139.0</v>
      </c>
      <c r="P88" s="6" t="s">
        <v>1331</v>
      </c>
      <c r="Q88" s="6" t="s">
        <v>1332</v>
      </c>
      <c r="R88" s="6" t="s">
        <v>135</v>
      </c>
      <c r="S88" s="6" t="s">
        <v>136</v>
      </c>
      <c r="T88" s="6">
        <v>143501.0</v>
      </c>
      <c r="U88" s="6" t="s">
        <v>138</v>
      </c>
      <c r="V88" s="6" t="s">
        <v>187</v>
      </c>
      <c r="W88" s="6" t="s">
        <v>141</v>
      </c>
      <c r="X88" s="6" t="s">
        <v>506</v>
      </c>
      <c r="Y88" s="6" t="s">
        <v>144</v>
      </c>
      <c r="Z88" s="26" t="s">
        <v>80</v>
      </c>
      <c r="AA88" s="22" t="s">
        <v>940</v>
      </c>
      <c r="AB88" s="28"/>
      <c r="AC88" s="28"/>
      <c r="AD88" s="7"/>
      <c r="AE88" s="7"/>
      <c r="AF88" s="30" t="s">
        <v>1338</v>
      </c>
    </row>
    <row r="89">
      <c r="A89" s="15">
        <v>88.0</v>
      </c>
      <c r="B89" s="16" t="s">
        <v>113</v>
      </c>
      <c r="C89" s="17" t="s">
        <v>116</v>
      </c>
      <c r="D89" s="6">
        <v>2.024010094279E12</v>
      </c>
      <c r="E89" s="6">
        <v>1.1242424804E10</v>
      </c>
      <c r="F89" s="6" t="s">
        <v>1339</v>
      </c>
      <c r="G89" s="6" t="s">
        <v>1340</v>
      </c>
      <c r="H89" s="6" t="s">
        <v>1341</v>
      </c>
      <c r="I89" s="6" t="s">
        <v>126</v>
      </c>
      <c r="J89" s="6" t="s">
        <v>1342</v>
      </c>
      <c r="K89" s="6">
        <v>123456.0</v>
      </c>
      <c r="L89" s="6">
        <v>7.347259373E9</v>
      </c>
      <c r="M89" s="6">
        <v>8.968130523E9</v>
      </c>
      <c r="N89" s="6">
        <v>9.04199406E9</v>
      </c>
      <c r="O89" s="23">
        <v>39298.0</v>
      </c>
      <c r="P89" s="6" t="s">
        <v>1345</v>
      </c>
      <c r="Q89" s="6" t="s">
        <v>1347</v>
      </c>
      <c r="R89" s="6" t="s">
        <v>135</v>
      </c>
      <c r="S89" s="6" t="s">
        <v>136</v>
      </c>
      <c r="T89" s="6">
        <v>143149.0</v>
      </c>
      <c r="U89" s="6" t="s">
        <v>138</v>
      </c>
      <c r="V89" s="6" t="s">
        <v>187</v>
      </c>
      <c r="W89" s="6" t="s">
        <v>141</v>
      </c>
      <c r="X89" s="6" t="s">
        <v>143</v>
      </c>
      <c r="Y89" s="6" t="s">
        <v>144</v>
      </c>
      <c r="Z89" s="26" t="s">
        <v>80</v>
      </c>
      <c r="AA89" s="22" t="s">
        <v>940</v>
      </c>
      <c r="AB89" s="28"/>
      <c r="AC89" s="28"/>
      <c r="AD89" s="7"/>
      <c r="AE89" s="7"/>
      <c r="AF89" s="30" t="s">
        <v>1349</v>
      </c>
    </row>
    <row r="90">
      <c r="A90" s="15">
        <v>89.0</v>
      </c>
      <c r="B90" s="16" t="s">
        <v>113</v>
      </c>
      <c r="C90" s="17" t="s">
        <v>116</v>
      </c>
      <c r="D90" s="6">
        <v>2.024010094528E12</v>
      </c>
      <c r="E90" s="6">
        <v>1.1242424806E10</v>
      </c>
      <c r="F90" s="6" t="s">
        <v>1350</v>
      </c>
      <c r="G90" s="6" t="s">
        <v>675</v>
      </c>
      <c r="H90" s="6" t="s">
        <v>1351</v>
      </c>
      <c r="I90" s="6" t="s">
        <v>126</v>
      </c>
      <c r="J90" s="6" t="s">
        <v>1353</v>
      </c>
      <c r="K90" s="6">
        <v>123456.0</v>
      </c>
      <c r="L90" s="6">
        <v>6.283855171E9</v>
      </c>
      <c r="M90" s="6">
        <v>9.915326953E9</v>
      </c>
      <c r="N90" s="6">
        <v>9.915326953E9</v>
      </c>
      <c r="O90" s="23">
        <v>38844.0</v>
      </c>
      <c r="P90" s="6" t="s">
        <v>1355</v>
      </c>
      <c r="Q90" s="6" t="s">
        <v>1357</v>
      </c>
      <c r="R90" s="6" t="s">
        <v>135</v>
      </c>
      <c r="S90" s="6" t="s">
        <v>136</v>
      </c>
      <c r="T90" s="6">
        <v>143601.0</v>
      </c>
      <c r="U90" s="6" t="s">
        <v>138</v>
      </c>
      <c r="V90" s="6" t="s">
        <v>187</v>
      </c>
      <c r="W90" s="6" t="s">
        <v>141</v>
      </c>
      <c r="X90" s="6" t="s">
        <v>229</v>
      </c>
      <c r="Y90" s="6" t="s">
        <v>144</v>
      </c>
      <c r="Z90" s="26" t="s">
        <v>80</v>
      </c>
      <c r="AA90" s="22" t="s">
        <v>940</v>
      </c>
      <c r="AB90" s="28"/>
      <c r="AC90" s="28"/>
      <c r="AD90" s="7"/>
      <c r="AE90" s="7"/>
      <c r="AF90" s="30" t="s">
        <v>1358</v>
      </c>
    </row>
    <row r="91">
      <c r="A91" s="15">
        <v>90.0</v>
      </c>
      <c r="B91" s="16" t="s">
        <v>113</v>
      </c>
      <c r="C91" s="17" t="s">
        <v>116</v>
      </c>
      <c r="D91" s="6">
        <v>2.024010094654E12</v>
      </c>
      <c r="E91" s="6">
        <v>1.1242424807E10</v>
      </c>
      <c r="F91" s="6" t="s">
        <v>763</v>
      </c>
      <c r="G91" s="6" t="s">
        <v>1363</v>
      </c>
      <c r="H91" s="6" t="s">
        <v>1364</v>
      </c>
      <c r="I91" s="6" t="s">
        <v>126</v>
      </c>
      <c r="J91" s="6" t="s">
        <v>1365</v>
      </c>
      <c r="K91" s="6">
        <v>1.2345678E7</v>
      </c>
      <c r="L91" s="6">
        <v>7.652866977E9</v>
      </c>
      <c r="M91" s="6">
        <v>8.847600563E9</v>
      </c>
      <c r="N91" s="55">
        <f>+918847600563</f>
        <v>918847600563</v>
      </c>
      <c r="O91" s="23">
        <v>38718.0</v>
      </c>
      <c r="P91" s="6" t="s">
        <v>1367</v>
      </c>
      <c r="Q91" s="6" t="s">
        <v>1368</v>
      </c>
      <c r="R91" s="6" t="s">
        <v>135</v>
      </c>
      <c r="S91" s="6" t="s">
        <v>136</v>
      </c>
      <c r="T91" s="6">
        <v>143116.0</v>
      </c>
      <c r="U91" s="6" t="s">
        <v>169</v>
      </c>
      <c r="V91" s="6" t="s">
        <v>187</v>
      </c>
      <c r="W91" s="6" t="s">
        <v>141</v>
      </c>
      <c r="X91" s="6" t="s">
        <v>143</v>
      </c>
      <c r="Y91" s="6" t="s">
        <v>144</v>
      </c>
      <c r="Z91" s="28"/>
      <c r="AA91" s="22" t="s">
        <v>940</v>
      </c>
      <c r="AB91" s="28"/>
      <c r="AC91" s="28"/>
      <c r="AD91" s="7"/>
      <c r="AE91" s="7"/>
      <c r="AF91" s="30" t="s">
        <v>1369</v>
      </c>
    </row>
    <row r="92">
      <c r="A92" s="15">
        <v>91.0</v>
      </c>
      <c r="B92" s="16" t="s">
        <v>113</v>
      </c>
      <c r="C92" s="17" t="s">
        <v>116</v>
      </c>
      <c r="D92" s="6">
        <v>2.024010094656E12</v>
      </c>
      <c r="E92" s="6">
        <v>1.1242424808E10</v>
      </c>
      <c r="F92" s="6" t="s">
        <v>1374</v>
      </c>
      <c r="G92" s="6" t="s">
        <v>1375</v>
      </c>
      <c r="H92" s="6" t="s">
        <v>1376</v>
      </c>
      <c r="I92" s="6" t="s">
        <v>126</v>
      </c>
      <c r="J92" s="6" t="s">
        <v>1377</v>
      </c>
      <c r="K92" s="30" t="s">
        <v>291</v>
      </c>
      <c r="L92" s="6">
        <v>8.872552254E9</v>
      </c>
      <c r="M92" s="6">
        <v>9.915252254E9</v>
      </c>
      <c r="N92" s="6">
        <v>9.87847571E9</v>
      </c>
      <c r="O92" s="32">
        <v>38865.0</v>
      </c>
      <c r="P92" s="6" t="s">
        <v>1379</v>
      </c>
      <c r="Q92" s="6" t="s">
        <v>1380</v>
      </c>
      <c r="R92" s="6" t="s">
        <v>437</v>
      </c>
      <c r="S92" s="6" t="s">
        <v>136</v>
      </c>
      <c r="T92" s="30" t="s">
        <v>856</v>
      </c>
      <c r="U92" s="6" t="s">
        <v>169</v>
      </c>
      <c r="V92" s="6" t="s">
        <v>156</v>
      </c>
      <c r="W92" s="6" t="s">
        <v>141</v>
      </c>
      <c r="X92" s="6" t="s">
        <v>188</v>
      </c>
      <c r="Y92" s="6" t="s">
        <v>144</v>
      </c>
      <c r="Z92" s="7"/>
      <c r="AA92" s="22" t="s">
        <v>940</v>
      </c>
      <c r="AB92" s="7"/>
      <c r="AC92" s="7"/>
      <c r="AD92" s="7"/>
      <c r="AE92" s="7"/>
      <c r="AF92" s="30" t="s">
        <v>1383</v>
      </c>
    </row>
    <row r="93">
      <c r="A93" s="15">
        <v>92.0</v>
      </c>
      <c r="B93" s="16" t="s">
        <v>113</v>
      </c>
      <c r="C93" s="17" t="s">
        <v>116</v>
      </c>
      <c r="D93" s="6">
        <v>2.024010093758E12</v>
      </c>
      <c r="E93" s="6">
        <v>1.124242481E10</v>
      </c>
      <c r="F93" s="6" t="s">
        <v>1386</v>
      </c>
      <c r="G93" s="6" t="s">
        <v>1387</v>
      </c>
      <c r="H93" s="6" t="s">
        <v>1388</v>
      </c>
      <c r="I93" s="6" t="s">
        <v>164</v>
      </c>
      <c r="J93" s="6" t="s">
        <v>1389</v>
      </c>
      <c r="K93" s="6">
        <v>123456.0</v>
      </c>
      <c r="L93" s="6">
        <v>7.69642091E9</v>
      </c>
      <c r="M93" s="6">
        <v>9.50182704E9</v>
      </c>
      <c r="N93" s="6">
        <v>9.056290463E9</v>
      </c>
      <c r="O93" s="32">
        <v>38558.0</v>
      </c>
      <c r="P93" s="6" t="s">
        <v>1390</v>
      </c>
      <c r="Q93" s="6" t="s">
        <v>1391</v>
      </c>
      <c r="R93" s="6" t="s">
        <v>135</v>
      </c>
      <c r="S93" s="6" t="s">
        <v>136</v>
      </c>
      <c r="T93" s="6">
        <v>143115.0</v>
      </c>
      <c r="U93" s="6" t="s">
        <v>138</v>
      </c>
      <c r="V93" s="6" t="s">
        <v>140</v>
      </c>
      <c r="W93" s="6" t="s">
        <v>141</v>
      </c>
      <c r="X93" s="6" t="s">
        <v>208</v>
      </c>
      <c r="Y93" s="6" t="s">
        <v>144</v>
      </c>
      <c r="Z93" s="6" t="s">
        <v>80</v>
      </c>
      <c r="AA93" s="22" t="s">
        <v>940</v>
      </c>
      <c r="AB93" s="28"/>
      <c r="AC93" s="28"/>
      <c r="AD93" s="7"/>
      <c r="AE93" s="7"/>
      <c r="AF93" s="30" t="s">
        <v>1396</v>
      </c>
    </row>
    <row r="94">
      <c r="A94" s="15">
        <v>93.0</v>
      </c>
      <c r="B94" s="16" t="s">
        <v>113</v>
      </c>
      <c r="C94" s="17" t="s">
        <v>116</v>
      </c>
      <c r="D94" s="6">
        <v>2.024010093835E12</v>
      </c>
      <c r="E94" s="6">
        <v>1.1242424812E10</v>
      </c>
      <c r="F94" s="6" t="s">
        <v>1398</v>
      </c>
      <c r="G94" s="6" t="s">
        <v>1399</v>
      </c>
      <c r="H94" s="6" t="s">
        <v>1400</v>
      </c>
      <c r="I94" s="6" t="s">
        <v>164</v>
      </c>
      <c r="J94" s="6" t="s">
        <v>1401</v>
      </c>
      <c r="K94" s="6">
        <v>123456.0</v>
      </c>
      <c r="L94" s="6">
        <v>9.855177676E9</v>
      </c>
      <c r="M94" s="6">
        <v>9.855177676E9</v>
      </c>
      <c r="N94" s="6">
        <v>9.855177676E9</v>
      </c>
      <c r="O94" s="6" t="s">
        <v>1402</v>
      </c>
      <c r="P94" s="6" t="s">
        <v>1403</v>
      </c>
      <c r="Q94" s="6" t="s">
        <v>1404</v>
      </c>
      <c r="R94" s="6" t="s">
        <v>1406</v>
      </c>
      <c r="S94" s="6" t="s">
        <v>136</v>
      </c>
      <c r="T94" s="6">
        <v>160009.0</v>
      </c>
      <c r="U94" s="6" t="s">
        <v>169</v>
      </c>
      <c r="V94" s="6" t="s">
        <v>140</v>
      </c>
      <c r="W94" s="6" t="s">
        <v>141</v>
      </c>
      <c r="X94" s="6" t="s">
        <v>229</v>
      </c>
      <c r="Y94" s="6" t="s">
        <v>251</v>
      </c>
      <c r="Z94" s="28"/>
      <c r="AA94" s="22" t="s">
        <v>940</v>
      </c>
      <c r="AB94" s="28"/>
      <c r="AC94" s="28"/>
      <c r="AD94" s="7"/>
      <c r="AE94" s="7"/>
      <c r="AF94" s="7"/>
    </row>
    <row r="95">
      <c r="A95" s="15">
        <v>94.0</v>
      </c>
      <c r="B95" s="16" t="s">
        <v>113</v>
      </c>
      <c r="C95" s="17" t="s">
        <v>116</v>
      </c>
      <c r="D95" s="6">
        <v>2.024010093873E12</v>
      </c>
      <c r="E95" s="6">
        <v>1.1242424813E10</v>
      </c>
      <c r="F95" s="6" t="s">
        <v>488</v>
      </c>
      <c r="G95" s="6" t="s">
        <v>844</v>
      </c>
      <c r="H95" s="6" t="s">
        <v>1410</v>
      </c>
      <c r="I95" s="6" t="s">
        <v>126</v>
      </c>
      <c r="J95" s="6" t="s">
        <v>1411</v>
      </c>
      <c r="K95" s="6">
        <v>123456.0</v>
      </c>
      <c r="L95" s="6">
        <v>9.041261429E9</v>
      </c>
      <c r="M95" s="6">
        <v>8.968561429E9</v>
      </c>
      <c r="N95" s="6">
        <v>7.69632131E9</v>
      </c>
      <c r="O95" s="23">
        <v>39087.0</v>
      </c>
      <c r="P95" s="6" t="s">
        <v>1416</v>
      </c>
      <c r="Q95" s="6" t="s">
        <v>1417</v>
      </c>
      <c r="R95" s="6" t="s">
        <v>1418</v>
      </c>
      <c r="S95" s="6" t="s">
        <v>136</v>
      </c>
      <c r="T95" s="6">
        <v>143412.0</v>
      </c>
      <c r="U95" s="6" t="s">
        <v>138</v>
      </c>
      <c r="V95" s="6" t="s">
        <v>187</v>
      </c>
      <c r="W95" s="6" t="s">
        <v>141</v>
      </c>
      <c r="X95" s="6" t="s">
        <v>208</v>
      </c>
      <c r="Y95" s="6" t="s">
        <v>144</v>
      </c>
      <c r="Z95" s="6" t="s">
        <v>80</v>
      </c>
      <c r="AA95" s="22" t="s">
        <v>940</v>
      </c>
      <c r="AB95" s="28"/>
      <c r="AC95" s="28"/>
      <c r="AD95" s="7"/>
      <c r="AE95" s="7"/>
      <c r="AF95" s="30" t="s">
        <v>1420</v>
      </c>
    </row>
    <row r="96">
      <c r="A96" s="15">
        <v>95.0</v>
      </c>
      <c r="B96" s="16" t="s">
        <v>113</v>
      </c>
      <c r="C96" s="17" t="s">
        <v>116</v>
      </c>
      <c r="D96" s="6">
        <v>2.024010093906E12</v>
      </c>
      <c r="E96" s="6">
        <v>1.1242424814E10</v>
      </c>
      <c r="F96" s="6" t="s">
        <v>811</v>
      </c>
      <c r="G96" s="6" t="s">
        <v>585</v>
      </c>
      <c r="H96" s="6" t="s">
        <v>1341</v>
      </c>
      <c r="I96" s="6" t="s">
        <v>164</v>
      </c>
      <c r="J96" s="6" t="s">
        <v>1425</v>
      </c>
      <c r="K96" s="6">
        <v>2012007.0</v>
      </c>
      <c r="L96" s="6">
        <v>9.876351112E9</v>
      </c>
      <c r="M96" s="6">
        <v>9.417188801E9</v>
      </c>
      <c r="N96" s="6">
        <v>7.888531185E9</v>
      </c>
      <c r="O96" s="23">
        <v>39114.0</v>
      </c>
      <c r="P96" s="6" t="s">
        <v>1427</v>
      </c>
      <c r="Q96" s="6" t="s">
        <v>1428</v>
      </c>
      <c r="R96" s="6" t="s">
        <v>135</v>
      </c>
      <c r="S96" s="6" t="s">
        <v>136</v>
      </c>
      <c r="T96" s="6">
        <v>143001.0</v>
      </c>
      <c r="U96" s="6" t="s">
        <v>321</v>
      </c>
      <c r="V96" s="6" t="s">
        <v>187</v>
      </c>
      <c r="W96" s="6" t="s">
        <v>141</v>
      </c>
      <c r="X96" s="6" t="s">
        <v>143</v>
      </c>
      <c r="Y96" s="6" t="s">
        <v>144</v>
      </c>
      <c r="Z96" s="28"/>
      <c r="AA96" s="22" t="s">
        <v>940</v>
      </c>
      <c r="AB96" s="28"/>
      <c r="AC96" s="28"/>
      <c r="AD96" s="7"/>
      <c r="AE96" s="7"/>
      <c r="AF96" s="30" t="s">
        <v>1429</v>
      </c>
    </row>
    <row r="97">
      <c r="A97" s="15">
        <v>96.0</v>
      </c>
      <c r="B97" s="16" t="s">
        <v>113</v>
      </c>
      <c r="C97" s="17" t="s">
        <v>116</v>
      </c>
      <c r="D97" s="6">
        <v>2.024010093912E12</v>
      </c>
      <c r="E97" s="6">
        <v>1.1242424815E10</v>
      </c>
      <c r="F97" s="6" t="s">
        <v>1432</v>
      </c>
      <c r="G97" s="6" t="s">
        <v>1434</v>
      </c>
      <c r="H97" s="6" t="s">
        <v>1435</v>
      </c>
      <c r="I97" s="6" t="s">
        <v>126</v>
      </c>
      <c r="J97" s="6" t="s">
        <v>1436</v>
      </c>
      <c r="K97" s="6">
        <v>123456.0</v>
      </c>
      <c r="L97" s="6">
        <v>7.341167314E9</v>
      </c>
      <c r="M97" s="6">
        <v>9.815367314E9</v>
      </c>
      <c r="N97" s="6">
        <v>9.876709036E9</v>
      </c>
      <c r="O97" s="23">
        <v>38994.0</v>
      </c>
      <c r="P97" s="6" t="s">
        <v>1438</v>
      </c>
      <c r="Q97" s="6" t="s">
        <v>1439</v>
      </c>
      <c r="R97" s="6" t="s">
        <v>135</v>
      </c>
      <c r="S97" s="6" t="s">
        <v>136</v>
      </c>
      <c r="T97" s="6">
        <v>143001.0</v>
      </c>
      <c r="U97" s="6" t="s">
        <v>169</v>
      </c>
      <c r="V97" s="6" t="s">
        <v>187</v>
      </c>
      <c r="W97" s="6" t="s">
        <v>141</v>
      </c>
      <c r="X97" s="6" t="s">
        <v>229</v>
      </c>
      <c r="Y97" s="6" t="s">
        <v>251</v>
      </c>
      <c r="Z97" s="28"/>
      <c r="AA97" s="22" t="s">
        <v>940</v>
      </c>
      <c r="AB97" s="28"/>
      <c r="AC97" s="28"/>
      <c r="AD97" s="7"/>
      <c r="AE97" s="7"/>
      <c r="AF97" s="30" t="s">
        <v>1443</v>
      </c>
    </row>
    <row r="98">
      <c r="A98" s="15">
        <v>97.0</v>
      </c>
      <c r="B98" s="16" t="s">
        <v>113</v>
      </c>
      <c r="C98" s="17" t="s">
        <v>116</v>
      </c>
      <c r="D98" s="6">
        <v>2.02401009398E12</v>
      </c>
      <c r="E98" s="6">
        <v>1.1242424816E10</v>
      </c>
      <c r="F98" s="6" t="s">
        <v>1445</v>
      </c>
      <c r="G98" s="6" t="s">
        <v>1446</v>
      </c>
      <c r="H98" s="6" t="s">
        <v>1447</v>
      </c>
      <c r="I98" s="6" t="s">
        <v>126</v>
      </c>
      <c r="J98" s="6" t="s">
        <v>1448</v>
      </c>
      <c r="K98" s="6">
        <v>123456.0</v>
      </c>
      <c r="L98" s="6">
        <v>9.103013125E9</v>
      </c>
      <c r="M98" s="6">
        <v>9.469794233E9</v>
      </c>
      <c r="N98" s="6">
        <v>7.006844527E9</v>
      </c>
      <c r="O98" s="23">
        <v>38755.0</v>
      </c>
      <c r="P98" s="6" t="s">
        <v>1450</v>
      </c>
      <c r="Q98" s="6" t="s">
        <v>1452</v>
      </c>
      <c r="R98" s="6" t="s">
        <v>1454</v>
      </c>
      <c r="S98" s="6" t="s">
        <v>1455</v>
      </c>
      <c r="T98" s="6">
        <v>182101.0</v>
      </c>
      <c r="U98" s="6" t="s">
        <v>169</v>
      </c>
      <c r="V98" s="6" t="s">
        <v>187</v>
      </c>
      <c r="W98" s="6" t="s">
        <v>141</v>
      </c>
      <c r="X98" s="6" t="s">
        <v>506</v>
      </c>
      <c r="Y98" s="6" t="s">
        <v>251</v>
      </c>
      <c r="Z98" s="28"/>
      <c r="AA98" s="22" t="s">
        <v>940</v>
      </c>
      <c r="AB98" s="28"/>
      <c r="AC98" s="28"/>
      <c r="AD98" s="7"/>
      <c r="AE98" s="7"/>
      <c r="AF98" s="30" t="s">
        <v>1457</v>
      </c>
    </row>
    <row r="99">
      <c r="A99" s="15">
        <v>98.0</v>
      </c>
      <c r="B99" s="16" t="s">
        <v>113</v>
      </c>
      <c r="C99" s="17" t="s">
        <v>116</v>
      </c>
      <c r="D99" s="6">
        <v>2.024010116221E12</v>
      </c>
      <c r="E99" s="6">
        <v>1.1242424817E10</v>
      </c>
      <c r="F99" s="6" t="s">
        <v>1462</v>
      </c>
      <c r="G99" s="6" t="s">
        <v>1463</v>
      </c>
      <c r="H99" s="6" t="s">
        <v>1464</v>
      </c>
      <c r="I99" s="6" t="s">
        <v>164</v>
      </c>
      <c r="J99" s="6" t="s">
        <v>1465</v>
      </c>
      <c r="K99" s="6" t="s">
        <v>1467</v>
      </c>
      <c r="L99" s="6">
        <v>7.00713959E9</v>
      </c>
      <c r="M99" s="6">
        <v>8.837648543E9</v>
      </c>
      <c r="N99" s="6">
        <v>7.00713959E9</v>
      </c>
      <c r="O99" s="23">
        <v>38413.0</v>
      </c>
      <c r="P99" s="6" t="s">
        <v>1468</v>
      </c>
      <c r="Q99" s="6" t="s">
        <v>1469</v>
      </c>
      <c r="R99" s="6" t="s">
        <v>135</v>
      </c>
      <c r="S99" s="6" t="s">
        <v>136</v>
      </c>
      <c r="T99" s="6">
        <v>143001.0</v>
      </c>
      <c r="U99" s="6" t="s">
        <v>138</v>
      </c>
      <c r="V99" s="6" t="s">
        <v>66</v>
      </c>
      <c r="W99" s="6" t="s">
        <v>141</v>
      </c>
      <c r="X99" s="6" t="s">
        <v>208</v>
      </c>
      <c r="Y99" s="6" t="s">
        <v>251</v>
      </c>
      <c r="Z99" s="6" t="s">
        <v>80</v>
      </c>
      <c r="AA99" s="22" t="s">
        <v>940</v>
      </c>
      <c r="AB99" s="28"/>
      <c r="AC99" s="28"/>
      <c r="AD99" s="7"/>
      <c r="AE99" s="7"/>
      <c r="AF99" s="30" t="s">
        <v>1470</v>
      </c>
    </row>
    <row r="100">
      <c r="A100" s="15">
        <v>99.0</v>
      </c>
      <c r="B100" s="16" t="s">
        <v>113</v>
      </c>
      <c r="C100" s="17" t="s">
        <v>116</v>
      </c>
      <c r="D100" s="6">
        <v>2.024010093707E12</v>
      </c>
      <c r="E100" s="6">
        <v>1.1242424818E10</v>
      </c>
      <c r="F100" s="6" t="s">
        <v>1474</v>
      </c>
      <c r="G100" s="6" t="s">
        <v>1475</v>
      </c>
      <c r="H100" s="6" t="s">
        <v>1476</v>
      </c>
      <c r="I100" s="6" t="s">
        <v>126</v>
      </c>
      <c r="J100" s="6" t="s">
        <v>1477</v>
      </c>
      <c r="K100" s="6">
        <v>123456.0</v>
      </c>
      <c r="L100" s="6">
        <v>9.103147702E9</v>
      </c>
      <c r="M100" s="6">
        <v>6.005606452E9</v>
      </c>
      <c r="N100" s="6">
        <v>9.541733601E9</v>
      </c>
      <c r="O100" s="32">
        <v>39113.0</v>
      </c>
      <c r="P100" s="6" t="s">
        <v>1479</v>
      </c>
      <c r="Q100" s="6" t="s">
        <v>1452</v>
      </c>
      <c r="R100" s="6" t="s">
        <v>1454</v>
      </c>
      <c r="S100" s="6" t="s">
        <v>1455</v>
      </c>
      <c r="T100" s="6">
        <v>182101.0</v>
      </c>
      <c r="U100" s="6" t="s">
        <v>169</v>
      </c>
      <c r="V100" s="6" t="s">
        <v>187</v>
      </c>
      <c r="W100" s="6" t="s">
        <v>141</v>
      </c>
      <c r="X100" s="6" t="s">
        <v>208</v>
      </c>
      <c r="Y100" s="6" t="s">
        <v>251</v>
      </c>
      <c r="Z100" s="28"/>
      <c r="AA100" s="22" t="s">
        <v>940</v>
      </c>
      <c r="AB100" s="28"/>
      <c r="AC100" s="28"/>
      <c r="AD100" s="7"/>
      <c r="AE100" s="7"/>
      <c r="AF100" s="30" t="s">
        <v>1484</v>
      </c>
    </row>
    <row r="101">
      <c r="A101" s="15">
        <v>100.0</v>
      </c>
      <c r="B101" s="16" t="s">
        <v>113</v>
      </c>
      <c r="C101" s="17" t="s">
        <v>116</v>
      </c>
      <c r="D101" s="6">
        <v>2.024010093254E12</v>
      </c>
      <c r="E101" s="6">
        <v>1.1242424819E10</v>
      </c>
      <c r="F101" s="6" t="s">
        <v>1486</v>
      </c>
      <c r="G101" s="6" t="s">
        <v>1487</v>
      </c>
      <c r="H101" s="6" t="s">
        <v>1488</v>
      </c>
      <c r="I101" s="6" t="s">
        <v>126</v>
      </c>
      <c r="J101" s="6" t="s">
        <v>1489</v>
      </c>
      <c r="K101" s="6">
        <v>123456.0</v>
      </c>
      <c r="L101" s="6">
        <v>8.899139001E9</v>
      </c>
      <c r="M101" s="6">
        <v>9.62225118E9</v>
      </c>
      <c r="N101" s="6">
        <v>9.906276496E9</v>
      </c>
      <c r="O101" s="23">
        <v>38904.0</v>
      </c>
      <c r="P101" s="6" t="s">
        <v>1490</v>
      </c>
      <c r="Q101" s="6" t="s">
        <v>1491</v>
      </c>
      <c r="R101" s="6" t="s">
        <v>1454</v>
      </c>
      <c r="S101" s="6" t="s">
        <v>1455</v>
      </c>
      <c r="T101" s="6">
        <v>182101.0</v>
      </c>
      <c r="U101" s="6" t="s">
        <v>169</v>
      </c>
      <c r="V101" s="6" t="s">
        <v>187</v>
      </c>
      <c r="W101" s="6" t="s">
        <v>141</v>
      </c>
      <c r="X101" s="6" t="s">
        <v>143</v>
      </c>
      <c r="Y101" s="6" t="s">
        <v>251</v>
      </c>
      <c r="Z101" s="28"/>
      <c r="AA101" s="22" t="s">
        <v>940</v>
      </c>
      <c r="AB101" s="28"/>
      <c r="AC101" s="28"/>
      <c r="AD101" s="7"/>
      <c r="AE101" s="7"/>
      <c r="AF101" s="30" t="s">
        <v>1497</v>
      </c>
    </row>
    <row r="102">
      <c r="A102" s="15">
        <v>101.0</v>
      </c>
      <c r="B102" s="16" t="s">
        <v>113</v>
      </c>
      <c r="C102" s="17" t="s">
        <v>116</v>
      </c>
      <c r="D102" s="6">
        <v>2.024010004787E12</v>
      </c>
      <c r="E102" s="6">
        <v>1.124242482E10</v>
      </c>
      <c r="F102" s="6" t="s">
        <v>1498</v>
      </c>
      <c r="G102" s="6" t="s">
        <v>1499</v>
      </c>
      <c r="H102" s="6" t="s">
        <v>1435</v>
      </c>
      <c r="I102" s="6" t="s">
        <v>126</v>
      </c>
      <c r="J102" s="6" t="s">
        <v>1500</v>
      </c>
      <c r="K102" s="6">
        <v>123456.0</v>
      </c>
      <c r="L102" s="6">
        <v>7.838932016E9</v>
      </c>
      <c r="M102" s="6">
        <v>8.368466448E9</v>
      </c>
      <c r="N102" s="55">
        <f>+918766312250</f>
        <v>918766312250</v>
      </c>
      <c r="O102" s="32">
        <v>38820.0</v>
      </c>
      <c r="P102" s="6" t="s">
        <v>1505</v>
      </c>
      <c r="Q102" s="6" t="s">
        <v>1506</v>
      </c>
      <c r="R102" s="6" t="s">
        <v>1507</v>
      </c>
      <c r="S102" s="6" t="s">
        <v>1508</v>
      </c>
      <c r="T102" s="6">
        <v>110010.0</v>
      </c>
      <c r="U102" s="6" t="s">
        <v>169</v>
      </c>
      <c r="V102" s="6" t="s">
        <v>187</v>
      </c>
      <c r="W102" s="6" t="s">
        <v>141</v>
      </c>
      <c r="X102" s="6" t="s">
        <v>143</v>
      </c>
      <c r="Y102" s="6" t="s">
        <v>251</v>
      </c>
      <c r="Z102" s="28"/>
      <c r="AA102" s="22" t="s">
        <v>940</v>
      </c>
      <c r="AB102" s="28"/>
      <c r="AC102" s="28"/>
      <c r="AD102" s="7"/>
      <c r="AE102" s="7"/>
      <c r="AF102" s="30" t="s">
        <v>1514</v>
      </c>
    </row>
    <row r="103">
      <c r="A103" s="15">
        <v>102.0</v>
      </c>
      <c r="B103" s="16" t="s">
        <v>113</v>
      </c>
      <c r="C103" s="17" t="s">
        <v>116</v>
      </c>
      <c r="D103" s="6">
        <v>2.024010080048E12</v>
      </c>
      <c r="E103" s="6">
        <v>1.1242424821E10</v>
      </c>
      <c r="F103" s="6" t="s">
        <v>1515</v>
      </c>
      <c r="G103" s="6" t="s">
        <v>1516</v>
      </c>
      <c r="H103" s="6" t="s">
        <v>1517</v>
      </c>
      <c r="I103" s="6" t="s">
        <v>164</v>
      </c>
      <c r="J103" s="6" t="s">
        <v>1519</v>
      </c>
      <c r="K103" s="6">
        <v>123456.0</v>
      </c>
      <c r="L103" s="6">
        <v>7.290826272E9</v>
      </c>
      <c r="M103" s="6">
        <v>8.750132352E9</v>
      </c>
      <c r="N103" s="6">
        <v>8.120034465E9</v>
      </c>
      <c r="O103" s="23">
        <v>38783.0</v>
      </c>
      <c r="P103" s="6" t="s">
        <v>1522</v>
      </c>
      <c r="Q103" s="6" t="s">
        <v>1524</v>
      </c>
      <c r="R103" s="6" t="s">
        <v>1525</v>
      </c>
      <c r="S103" s="6" t="s">
        <v>136</v>
      </c>
      <c r="T103" s="6">
        <v>144421.0</v>
      </c>
      <c r="U103" s="6" t="s">
        <v>138</v>
      </c>
      <c r="V103" s="6" t="s">
        <v>140</v>
      </c>
      <c r="W103" s="6" t="s">
        <v>141</v>
      </c>
      <c r="X103" s="6" t="s">
        <v>208</v>
      </c>
      <c r="Y103" s="6" t="s">
        <v>144</v>
      </c>
      <c r="Z103" s="28"/>
      <c r="AA103" s="22" t="s">
        <v>940</v>
      </c>
      <c r="AB103" s="28"/>
      <c r="AC103" s="28"/>
      <c r="AD103" s="7"/>
      <c r="AE103" s="7"/>
      <c r="AF103" s="30" t="s">
        <v>1526</v>
      </c>
    </row>
    <row r="104">
      <c r="A104" s="15">
        <v>103.0</v>
      </c>
      <c r="B104" s="16" t="s">
        <v>113</v>
      </c>
      <c r="C104" s="17" t="s">
        <v>116</v>
      </c>
      <c r="D104" s="6">
        <v>2.02401009308E12</v>
      </c>
      <c r="E104" s="6">
        <v>1.1242424823E10</v>
      </c>
      <c r="F104" s="6" t="s">
        <v>1530</v>
      </c>
      <c r="G104" s="6" t="s">
        <v>1531</v>
      </c>
      <c r="H104" s="6" t="s">
        <v>1532</v>
      </c>
      <c r="I104" s="6" t="s">
        <v>164</v>
      </c>
      <c r="J104" s="6" t="s">
        <v>1533</v>
      </c>
      <c r="K104" s="6">
        <v>123456.0</v>
      </c>
      <c r="L104" s="6">
        <v>8.899231539E9</v>
      </c>
      <c r="M104" s="6">
        <v>9.988445873E9</v>
      </c>
      <c r="N104" s="6">
        <v>9.086225161E9</v>
      </c>
      <c r="O104" s="23">
        <v>38719.0</v>
      </c>
      <c r="P104" s="6" t="s">
        <v>1535</v>
      </c>
      <c r="Q104" s="6" t="s">
        <v>1536</v>
      </c>
      <c r="R104" s="6" t="s">
        <v>1537</v>
      </c>
      <c r="S104" s="6" t="s">
        <v>1455</v>
      </c>
      <c r="T104" s="6">
        <v>184143.0</v>
      </c>
      <c r="U104" s="6" t="s">
        <v>169</v>
      </c>
      <c r="V104" s="6" t="s">
        <v>140</v>
      </c>
      <c r="W104" s="6" t="s">
        <v>141</v>
      </c>
      <c r="X104" s="6" t="s">
        <v>506</v>
      </c>
      <c r="Y104" s="6" t="s">
        <v>144</v>
      </c>
      <c r="Z104" s="28"/>
      <c r="AA104" s="22" t="s">
        <v>940</v>
      </c>
      <c r="AB104" s="28"/>
      <c r="AC104" s="28"/>
      <c r="AD104" s="7"/>
      <c r="AE104" s="7"/>
      <c r="AF104" s="30" t="s">
        <v>1542</v>
      </c>
    </row>
    <row r="105">
      <c r="A105" s="15">
        <v>104.0</v>
      </c>
      <c r="B105" s="16" t="s">
        <v>113</v>
      </c>
      <c r="C105" s="17" t="s">
        <v>116</v>
      </c>
      <c r="D105" s="6">
        <v>2.024010001548E12</v>
      </c>
      <c r="E105" s="6">
        <v>1.1242424824E10</v>
      </c>
      <c r="F105" s="6" t="s">
        <v>1544</v>
      </c>
      <c r="G105" s="6" t="s">
        <v>1545</v>
      </c>
      <c r="H105" s="6" t="s">
        <v>1546</v>
      </c>
      <c r="I105" s="6" t="s">
        <v>126</v>
      </c>
      <c r="J105" s="6" t="s">
        <v>1547</v>
      </c>
      <c r="K105" s="6" t="s">
        <v>1548</v>
      </c>
      <c r="L105" s="6">
        <v>9.780212468E9</v>
      </c>
      <c r="M105" s="6">
        <v>7.796475135E9</v>
      </c>
      <c r="N105" s="6">
        <v>9.699250867E9</v>
      </c>
      <c r="O105" s="32">
        <v>38896.0</v>
      </c>
      <c r="P105" s="6" t="s">
        <v>1549</v>
      </c>
      <c r="Q105" s="6" t="s">
        <v>1550</v>
      </c>
      <c r="R105" s="6" t="s">
        <v>135</v>
      </c>
      <c r="S105" s="6" t="s">
        <v>136</v>
      </c>
      <c r="T105" s="6">
        <v>143117.0</v>
      </c>
      <c r="U105" s="6" t="s">
        <v>138</v>
      </c>
      <c r="V105" s="6" t="s">
        <v>187</v>
      </c>
      <c r="W105" s="6" t="s">
        <v>141</v>
      </c>
      <c r="X105" s="6" t="s">
        <v>143</v>
      </c>
      <c r="Y105" s="6" t="s">
        <v>144</v>
      </c>
      <c r="Z105" s="28"/>
      <c r="AA105" s="22" t="s">
        <v>940</v>
      </c>
      <c r="AB105" s="28"/>
      <c r="AC105" s="28"/>
      <c r="AD105" s="7"/>
      <c r="AE105" s="7"/>
      <c r="AF105" s="30" t="s">
        <v>1556</v>
      </c>
    </row>
    <row r="106">
      <c r="A106" s="15">
        <v>105.0</v>
      </c>
      <c r="B106" s="84" t="s">
        <v>1557</v>
      </c>
      <c r="C106" s="17" t="s">
        <v>116</v>
      </c>
      <c r="D106" s="6">
        <v>2.021010058636E12</v>
      </c>
      <c r="E106" s="6">
        <v>1.1242319102E10</v>
      </c>
      <c r="F106" s="6" t="s">
        <v>1559</v>
      </c>
      <c r="G106" s="6" t="s">
        <v>844</v>
      </c>
      <c r="H106" s="6" t="s">
        <v>1561</v>
      </c>
      <c r="I106" s="6" t="s">
        <v>164</v>
      </c>
      <c r="J106" s="6" t="s">
        <v>1562</v>
      </c>
      <c r="K106" s="30" t="s">
        <v>291</v>
      </c>
      <c r="L106" s="6">
        <v>9.781008892E9</v>
      </c>
      <c r="M106" s="6">
        <v>8.8720214E9</v>
      </c>
      <c r="N106" s="6">
        <v>9.781008892E9</v>
      </c>
      <c r="O106" s="32">
        <v>37145.0</v>
      </c>
      <c r="P106" s="6" t="s">
        <v>1564</v>
      </c>
      <c r="Q106" s="6" t="s">
        <v>1565</v>
      </c>
      <c r="R106" s="6" t="s">
        <v>295</v>
      </c>
      <c r="S106" s="6" t="s">
        <v>296</v>
      </c>
      <c r="T106" s="30" t="s">
        <v>856</v>
      </c>
      <c r="U106" s="6" t="s">
        <v>169</v>
      </c>
      <c r="V106" s="6" t="s">
        <v>66</v>
      </c>
      <c r="W106" s="6" t="s">
        <v>141</v>
      </c>
      <c r="X106" s="6" t="s">
        <v>250</v>
      </c>
      <c r="Y106" s="6" t="s">
        <v>144</v>
      </c>
      <c r="Z106" s="7"/>
      <c r="AA106" s="22" t="s">
        <v>1566</v>
      </c>
      <c r="AB106" s="7"/>
      <c r="AC106" s="7"/>
      <c r="AD106" s="7"/>
      <c r="AE106" s="7"/>
      <c r="AF106" s="30" t="s">
        <v>1567</v>
      </c>
    </row>
    <row r="107">
      <c r="A107" s="15">
        <v>106.0</v>
      </c>
      <c r="B107" s="84" t="s">
        <v>1557</v>
      </c>
      <c r="C107" s="17" t="s">
        <v>116</v>
      </c>
      <c r="D107" s="6">
        <v>2.021010077619E12</v>
      </c>
      <c r="E107" s="6">
        <v>1.1242319104E10</v>
      </c>
      <c r="F107" s="6" t="s">
        <v>1568</v>
      </c>
      <c r="G107" s="6" t="s">
        <v>1569</v>
      </c>
      <c r="H107" s="6" t="s">
        <v>1570</v>
      </c>
      <c r="I107" s="6" t="s">
        <v>164</v>
      </c>
      <c r="J107" s="6" t="s">
        <v>1571</v>
      </c>
      <c r="K107" s="30" t="s">
        <v>1572</v>
      </c>
      <c r="L107" s="6">
        <v>8.837643509E9</v>
      </c>
      <c r="M107" s="6">
        <v>9.855780352E9</v>
      </c>
      <c r="N107" s="6">
        <v>7.696088358E9</v>
      </c>
      <c r="O107" s="32">
        <v>37852.0</v>
      </c>
      <c r="P107" s="6" t="s">
        <v>1573</v>
      </c>
      <c r="Q107" s="6" t="s">
        <v>1574</v>
      </c>
      <c r="R107" s="6" t="s">
        <v>135</v>
      </c>
      <c r="S107" s="6" t="s">
        <v>136</v>
      </c>
      <c r="T107" s="30" t="s">
        <v>186</v>
      </c>
      <c r="U107" s="6" t="s">
        <v>169</v>
      </c>
      <c r="V107" s="6" t="s">
        <v>66</v>
      </c>
      <c r="W107" s="6" t="s">
        <v>141</v>
      </c>
      <c r="X107" s="6" t="s">
        <v>718</v>
      </c>
      <c r="Y107" s="6" t="s">
        <v>251</v>
      </c>
      <c r="Z107" s="7"/>
      <c r="AA107" s="22" t="s">
        <v>1566</v>
      </c>
      <c r="AB107" s="7"/>
      <c r="AC107" s="7"/>
      <c r="AD107" s="7"/>
      <c r="AE107" s="7"/>
      <c r="AF107" s="30" t="s">
        <v>1575</v>
      </c>
    </row>
    <row r="108">
      <c r="A108" s="15">
        <v>107.0</v>
      </c>
      <c r="B108" s="84" t="s">
        <v>1557</v>
      </c>
      <c r="C108" s="17" t="s">
        <v>116</v>
      </c>
      <c r="D108" s="6">
        <v>2.021010078079E12</v>
      </c>
      <c r="E108" s="6">
        <v>1.1242319105E10</v>
      </c>
      <c r="F108" s="6" t="s">
        <v>1576</v>
      </c>
      <c r="G108" s="6" t="s">
        <v>603</v>
      </c>
      <c r="H108" s="6" t="s">
        <v>797</v>
      </c>
      <c r="I108" s="6" t="s">
        <v>126</v>
      </c>
      <c r="J108" s="6" t="s">
        <v>1577</v>
      </c>
      <c r="K108" s="6">
        <v>123456.0</v>
      </c>
      <c r="L108" s="6">
        <v>7.973790445E9</v>
      </c>
      <c r="M108" s="6">
        <v>9.779649766E9</v>
      </c>
      <c r="N108" s="6">
        <v>7.009186404E9</v>
      </c>
      <c r="O108" s="83">
        <v>36809.0</v>
      </c>
      <c r="P108" s="6" t="s">
        <v>1578</v>
      </c>
      <c r="Q108" s="6" t="s">
        <v>1579</v>
      </c>
      <c r="R108" s="6" t="s">
        <v>437</v>
      </c>
      <c r="S108" s="6" t="s">
        <v>136</v>
      </c>
      <c r="T108" s="6">
        <v>143401.0</v>
      </c>
      <c r="U108" s="6" t="s">
        <v>138</v>
      </c>
      <c r="V108" s="6" t="s">
        <v>187</v>
      </c>
      <c r="W108" s="6" t="s">
        <v>141</v>
      </c>
      <c r="X108" s="6" t="s">
        <v>143</v>
      </c>
      <c r="Y108" s="6" t="s">
        <v>144</v>
      </c>
      <c r="Z108" s="26" t="s">
        <v>80</v>
      </c>
      <c r="AA108" s="22" t="s">
        <v>1566</v>
      </c>
      <c r="AB108" s="28"/>
      <c r="AC108" s="28"/>
      <c r="AD108" s="7"/>
      <c r="AE108" s="7"/>
      <c r="AF108" s="30" t="s">
        <v>1580</v>
      </c>
    </row>
    <row r="109">
      <c r="A109" s="15">
        <v>108.0</v>
      </c>
      <c r="B109" s="84" t="s">
        <v>1557</v>
      </c>
      <c r="C109" s="17" t="s">
        <v>116</v>
      </c>
      <c r="D109" s="6">
        <v>2.022010046451E12</v>
      </c>
      <c r="E109" s="6">
        <v>1.1242319114E10</v>
      </c>
      <c r="F109" s="6" t="s">
        <v>1581</v>
      </c>
      <c r="G109" s="6" t="s">
        <v>1582</v>
      </c>
      <c r="H109" s="6" t="s">
        <v>1583</v>
      </c>
      <c r="I109" s="6" t="s">
        <v>164</v>
      </c>
      <c r="J109" s="6" t="s">
        <v>1584</v>
      </c>
      <c r="K109" s="30" t="s">
        <v>291</v>
      </c>
      <c r="L109" s="6">
        <v>7.88907989E8</v>
      </c>
      <c r="M109" s="6">
        <v>9.646023208E9</v>
      </c>
      <c r="N109" s="6">
        <v>9.646023208E9</v>
      </c>
      <c r="O109" s="32">
        <v>36925.0</v>
      </c>
      <c r="P109" s="6" t="s">
        <v>1585</v>
      </c>
      <c r="Q109" s="6" t="s">
        <v>1586</v>
      </c>
      <c r="R109" s="6" t="s">
        <v>135</v>
      </c>
      <c r="S109" s="6" t="s">
        <v>136</v>
      </c>
      <c r="T109" s="30" t="s">
        <v>186</v>
      </c>
      <c r="U109" s="6" t="s">
        <v>138</v>
      </c>
      <c r="V109" s="6" t="s">
        <v>140</v>
      </c>
      <c r="W109" s="6" t="s">
        <v>141</v>
      </c>
      <c r="X109" s="6" t="s">
        <v>250</v>
      </c>
      <c r="Y109" s="6" t="s">
        <v>251</v>
      </c>
      <c r="Z109" s="6" t="s">
        <v>80</v>
      </c>
      <c r="AA109" s="22" t="s">
        <v>1566</v>
      </c>
      <c r="AB109" s="7"/>
      <c r="AC109" s="7"/>
      <c r="AD109" s="7"/>
      <c r="AE109" s="7"/>
      <c r="AF109" s="30" t="s">
        <v>1587</v>
      </c>
    </row>
    <row r="110">
      <c r="A110" s="15">
        <v>109.0</v>
      </c>
      <c r="B110" s="84" t="s">
        <v>1557</v>
      </c>
      <c r="C110" s="17" t="s">
        <v>116</v>
      </c>
      <c r="D110" s="6">
        <v>2.022010048681E12</v>
      </c>
      <c r="E110" s="6">
        <v>1.1242319119E10</v>
      </c>
      <c r="F110" s="6" t="s">
        <v>1240</v>
      </c>
      <c r="G110" s="6" t="s">
        <v>1588</v>
      </c>
      <c r="H110" s="6" t="s">
        <v>604</v>
      </c>
      <c r="I110" s="6" t="s">
        <v>126</v>
      </c>
      <c r="J110" s="6" t="s">
        <v>1589</v>
      </c>
      <c r="K110" s="30" t="s">
        <v>291</v>
      </c>
      <c r="L110" s="6">
        <v>9.872471049E9</v>
      </c>
      <c r="M110" s="6">
        <v>9.81508102E9</v>
      </c>
      <c r="N110" s="6">
        <v>9.915986581E9</v>
      </c>
      <c r="O110" s="32">
        <v>38249.0</v>
      </c>
      <c r="P110" s="6" t="s">
        <v>1590</v>
      </c>
      <c r="Q110" s="6" t="s">
        <v>1591</v>
      </c>
      <c r="R110" s="6" t="s">
        <v>135</v>
      </c>
      <c r="S110" s="6" t="s">
        <v>136</v>
      </c>
      <c r="T110" s="30" t="s">
        <v>186</v>
      </c>
      <c r="U110" s="6" t="s">
        <v>169</v>
      </c>
      <c r="V110" s="6" t="s">
        <v>156</v>
      </c>
      <c r="W110" s="6" t="s">
        <v>141</v>
      </c>
      <c r="X110" s="6" t="s">
        <v>250</v>
      </c>
      <c r="Y110" s="6" t="s">
        <v>144</v>
      </c>
      <c r="Z110" s="7"/>
      <c r="AA110" s="22" t="s">
        <v>1566</v>
      </c>
      <c r="AB110" s="7"/>
      <c r="AC110" s="7"/>
      <c r="AD110" s="7"/>
      <c r="AE110" s="7"/>
      <c r="AF110" s="30" t="s">
        <v>1592</v>
      </c>
    </row>
    <row r="111">
      <c r="A111" s="15">
        <v>110.0</v>
      </c>
      <c r="B111" s="84" t="s">
        <v>1557</v>
      </c>
      <c r="C111" s="17" t="s">
        <v>116</v>
      </c>
      <c r="D111" s="6">
        <v>2.023010032097E12</v>
      </c>
      <c r="E111" s="6">
        <v>1.124231912E10</v>
      </c>
      <c r="F111" s="6" t="s">
        <v>523</v>
      </c>
      <c r="G111" s="6" t="s">
        <v>1360</v>
      </c>
      <c r="H111" s="6" t="s">
        <v>1593</v>
      </c>
      <c r="I111" s="6" t="s">
        <v>164</v>
      </c>
      <c r="J111" s="6" t="s">
        <v>1594</v>
      </c>
      <c r="K111" s="30" t="s">
        <v>291</v>
      </c>
      <c r="L111" s="6">
        <v>9.05608234E9</v>
      </c>
      <c r="M111" s="6">
        <v>8.146695624E9</v>
      </c>
      <c r="N111" s="6">
        <v>7.986435886E9</v>
      </c>
      <c r="O111" s="32">
        <v>38379.0</v>
      </c>
      <c r="P111" s="6" t="s">
        <v>1595</v>
      </c>
      <c r="Q111" s="6" t="s">
        <v>1596</v>
      </c>
      <c r="R111" s="6" t="s">
        <v>988</v>
      </c>
      <c r="S111" s="6" t="s">
        <v>989</v>
      </c>
      <c r="T111" s="6" t="s">
        <v>1597</v>
      </c>
      <c r="U111" s="6" t="s">
        <v>1598</v>
      </c>
      <c r="V111" s="6" t="s">
        <v>66</v>
      </c>
      <c r="W111" s="6" t="s">
        <v>141</v>
      </c>
      <c r="X111" s="6" t="s">
        <v>1599</v>
      </c>
      <c r="Y111" s="6" t="s">
        <v>144</v>
      </c>
      <c r="Z111" s="7"/>
      <c r="AA111" s="22" t="s">
        <v>1566</v>
      </c>
      <c r="AB111" s="7"/>
      <c r="AC111" s="7"/>
      <c r="AD111" s="7"/>
      <c r="AE111" s="7"/>
      <c r="AF111" s="30" t="s">
        <v>1600</v>
      </c>
    </row>
    <row r="112">
      <c r="A112" s="15">
        <v>111.0</v>
      </c>
      <c r="B112" s="84" t="s">
        <v>1557</v>
      </c>
      <c r="C112" s="17" t="s">
        <v>116</v>
      </c>
      <c r="D112" s="6">
        <v>2.023010034452E12</v>
      </c>
      <c r="E112" s="6">
        <v>1.1242319122E10</v>
      </c>
      <c r="F112" s="6" t="s">
        <v>1601</v>
      </c>
      <c r="G112" s="6" t="s">
        <v>1602</v>
      </c>
      <c r="H112" s="6" t="s">
        <v>1603</v>
      </c>
      <c r="I112" s="6" t="s">
        <v>164</v>
      </c>
      <c r="J112" s="6" t="s">
        <v>1604</v>
      </c>
      <c r="K112" s="6" t="s">
        <v>1605</v>
      </c>
      <c r="L112" s="6">
        <v>7.837457987E9</v>
      </c>
      <c r="M112" s="6">
        <v>9.815272643E9</v>
      </c>
      <c r="N112" s="6">
        <v>9.815272643E9</v>
      </c>
      <c r="O112" s="32">
        <v>38394.0</v>
      </c>
      <c r="P112" s="6" t="s">
        <v>1606</v>
      </c>
      <c r="Q112" s="6" t="s">
        <v>1607</v>
      </c>
      <c r="R112" s="6" t="s">
        <v>135</v>
      </c>
      <c r="S112" s="6" t="s">
        <v>136</v>
      </c>
      <c r="T112" s="30" t="s">
        <v>186</v>
      </c>
      <c r="U112" s="6" t="s">
        <v>169</v>
      </c>
      <c r="V112" s="6" t="s">
        <v>66</v>
      </c>
      <c r="W112" s="6" t="s">
        <v>141</v>
      </c>
      <c r="X112" s="6" t="s">
        <v>188</v>
      </c>
      <c r="Y112" s="6" t="s">
        <v>251</v>
      </c>
      <c r="Z112" s="7"/>
      <c r="AA112" s="22" t="s">
        <v>1566</v>
      </c>
      <c r="AB112" s="7"/>
      <c r="AC112" s="7"/>
      <c r="AD112" s="7"/>
      <c r="AE112" s="7"/>
      <c r="AF112" s="30" t="s">
        <v>1608</v>
      </c>
    </row>
    <row r="113">
      <c r="A113" s="15">
        <v>112.0</v>
      </c>
      <c r="B113" s="84" t="s">
        <v>1557</v>
      </c>
      <c r="C113" s="17" t="s">
        <v>116</v>
      </c>
      <c r="D113" s="6">
        <v>2.023010034997E12</v>
      </c>
      <c r="E113" s="6">
        <v>1.1242319123E10</v>
      </c>
      <c r="F113" s="6" t="s">
        <v>1609</v>
      </c>
      <c r="G113" s="6" t="s">
        <v>1610</v>
      </c>
      <c r="H113" s="6" t="s">
        <v>1611</v>
      </c>
      <c r="I113" s="6" t="s">
        <v>126</v>
      </c>
      <c r="J113" s="6" t="s">
        <v>1612</v>
      </c>
      <c r="K113" s="6">
        <v>123456.0</v>
      </c>
      <c r="L113" s="6">
        <v>9.041112617E9</v>
      </c>
      <c r="M113" s="6">
        <v>9.876624007E9</v>
      </c>
      <c r="N113" s="6">
        <v>8.283832617E9</v>
      </c>
      <c r="O113" s="83">
        <v>38332.0</v>
      </c>
      <c r="P113" s="6" t="s">
        <v>1613</v>
      </c>
      <c r="Q113" s="6" t="s">
        <v>1614</v>
      </c>
      <c r="R113" s="6" t="s">
        <v>135</v>
      </c>
      <c r="S113" s="6" t="s">
        <v>136</v>
      </c>
      <c r="T113" s="6">
        <v>143001.0</v>
      </c>
      <c r="U113" s="6" t="s">
        <v>169</v>
      </c>
      <c r="V113" s="6" t="s">
        <v>187</v>
      </c>
      <c r="W113" s="6" t="s">
        <v>141</v>
      </c>
      <c r="X113" s="6" t="s">
        <v>143</v>
      </c>
      <c r="Y113" s="6" t="s">
        <v>251</v>
      </c>
      <c r="Z113" s="28"/>
      <c r="AA113" s="22" t="s">
        <v>1566</v>
      </c>
      <c r="AB113" s="28"/>
      <c r="AC113" s="28"/>
      <c r="AD113" s="7"/>
      <c r="AE113" s="7"/>
      <c r="AF113" s="7"/>
    </row>
    <row r="114">
      <c r="A114" s="15">
        <v>113.0</v>
      </c>
      <c r="B114" s="84" t="s">
        <v>1557</v>
      </c>
      <c r="C114" s="17" t="s">
        <v>116</v>
      </c>
      <c r="D114" s="6">
        <v>2.023010035623E12</v>
      </c>
      <c r="E114" s="6">
        <v>1.1242319124E10</v>
      </c>
      <c r="F114" s="6" t="s">
        <v>1615</v>
      </c>
      <c r="G114" s="6" t="s">
        <v>695</v>
      </c>
      <c r="H114" s="6" t="s">
        <v>1410</v>
      </c>
      <c r="I114" s="6" t="s">
        <v>126</v>
      </c>
      <c r="J114" s="6" t="s">
        <v>1616</v>
      </c>
      <c r="K114" s="6">
        <v>123456.0</v>
      </c>
      <c r="L114" s="6">
        <v>6.239468294E9</v>
      </c>
      <c r="M114" s="6">
        <v>7.347640469E9</v>
      </c>
      <c r="N114" s="6">
        <v>9.779844597E9</v>
      </c>
      <c r="O114" s="23">
        <v>38177.0</v>
      </c>
      <c r="P114" s="6" t="s">
        <v>1617</v>
      </c>
      <c r="Q114" s="6" t="s">
        <v>1618</v>
      </c>
      <c r="R114" s="6" t="s">
        <v>437</v>
      </c>
      <c r="S114" s="6" t="s">
        <v>136</v>
      </c>
      <c r="T114" s="6">
        <v>143302.0</v>
      </c>
      <c r="U114" s="6" t="s">
        <v>321</v>
      </c>
      <c r="V114" s="6" t="s">
        <v>187</v>
      </c>
      <c r="W114" s="6" t="s">
        <v>141</v>
      </c>
      <c r="X114" s="6" t="s">
        <v>229</v>
      </c>
      <c r="Y114" s="6" t="s">
        <v>144</v>
      </c>
      <c r="Z114" s="28"/>
      <c r="AA114" s="22" t="s">
        <v>1566</v>
      </c>
      <c r="AB114" s="28"/>
      <c r="AC114" s="28"/>
      <c r="AD114" s="7"/>
      <c r="AE114" s="7"/>
      <c r="AF114" s="30" t="s">
        <v>1619</v>
      </c>
    </row>
    <row r="115">
      <c r="A115" s="15">
        <v>114.0</v>
      </c>
      <c r="B115" s="84" t="s">
        <v>1557</v>
      </c>
      <c r="C115" s="17" t="s">
        <v>116</v>
      </c>
      <c r="D115" s="6">
        <v>2.02301003694E12</v>
      </c>
      <c r="E115" s="6">
        <v>1.1242319125E10</v>
      </c>
      <c r="F115" s="6" t="s">
        <v>1620</v>
      </c>
      <c r="G115" s="6" t="s">
        <v>1621</v>
      </c>
      <c r="H115" s="6" t="s">
        <v>1622</v>
      </c>
      <c r="I115" s="6" t="s">
        <v>164</v>
      </c>
      <c r="J115" s="6" t="s">
        <v>1623</v>
      </c>
      <c r="K115" s="30" t="s">
        <v>291</v>
      </c>
      <c r="L115" s="6">
        <v>6.284604948E9</v>
      </c>
      <c r="M115" s="6">
        <v>7.973225025E9</v>
      </c>
      <c r="N115" s="6">
        <v>9.988704948E9</v>
      </c>
      <c r="O115" s="32">
        <v>38015.0</v>
      </c>
      <c r="P115" s="6" t="s">
        <v>1624</v>
      </c>
      <c r="Q115" s="6" t="s">
        <v>1625</v>
      </c>
      <c r="R115" s="6" t="s">
        <v>135</v>
      </c>
      <c r="S115" s="6" t="s">
        <v>136</v>
      </c>
      <c r="T115" s="30" t="s">
        <v>1626</v>
      </c>
      <c r="U115" s="6" t="s">
        <v>169</v>
      </c>
      <c r="V115" s="6" t="s">
        <v>66</v>
      </c>
      <c r="W115" s="6" t="s">
        <v>141</v>
      </c>
      <c r="X115" s="6" t="s">
        <v>250</v>
      </c>
      <c r="Y115" s="6" t="s">
        <v>1627</v>
      </c>
      <c r="Z115" s="7"/>
      <c r="AA115" s="22" t="s">
        <v>1566</v>
      </c>
      <c r="AB115" s="7"/>
      <c r="AC115" s="7"/>
      <c r="AD115" s="7"/>
      <c r="AE115" s="7"/>
      <c r="AF115" s="30" t="s">
        <v>1628</v>
      </c>
    </row>
    <row r="116">
      <c r="A116" s="15">
        <v>115.0</v>
      </c>
      <c r="B116" s="84" t="s">
        <v>1557</v>
      </c>
      <c r="C116" s="17" t="s">
        <v>116</v>
      </c>
      <c r="D116" s="6">
        <v>2.023010037037E12</v>
      </c>
      <c r="E116" s="6">
        <v>1.1242319126E10</v>
      </c>
      <c r="F116" s="6" t="s">
        <v>1629</v>
      </c>
      <c r="G116" s="6" t="s">
        <v>1630</v>
      </c>
      <c r="H116" s="6" t="s">
        <v>1631</v>
      </c>
      <c r="I116" s="6" t="s">
        <v>126</v>
      </c>
      <c r="J116" s="6" t="s">
        <v>1632</v>
      </c>
      <c r="K116" s="6">
        <v>123456.0</v>
      </c>
      <c r="L116" s="6">
        <v>7.657847339E9</v>
      </c>
      <c r="M116" s="6">
        <v>9.872047339E9</v>
      </c>
      <c r="N116" s="6">
        <v>9.876012588E9</v>
      </c>
      <c r="O116" s="23">
        <v>38269.0</v>
      </c>
      <c r="P116" s="6" t="s">
        <v>1633</v>
      </c>
      <c r="Q116" s="6" t="s">
        <v>1634</v>
      </c>
      <c r="R116" s="6" t="s">
        <v>1635</v>
      </c>
      <c r="S116" s="6" t="s">
        <v>136</v>
      </c>
      <c r="T116" s="6">
        <v>144041.0</v>
      </c>
      <c r="U116" s="6" t="s">
        <v>138</v>
      </c>
      <c r="V116" s="6" t="s">
        <v>187</v>
      </c>
      <c r="W116" s="6" t="s">
        <v>141</v>
      </c>
      <c r="X116" s="6" t="s">
        <v>143</v>
      </c>
      <c r="Y116" s="6" t="s">
        <v>144</v>
      </c>
      <c r="Z116" s="26" t="s">
        <v>80</v>
      </c>
      <c r="AA116" s="22" t="s">
        <v>1566</v>
      </c>
      <c r="AB116" s="28"/>
      <c r="AC116" s="28"/>
      <c r="AD116" s="7"/>
      <c r="AE116" s="7"/>
      <c r="AF116" s="30" t="s">
        <v>1636</v>
      </c>
    </row>
    <row r="117">
      <c r="A117" s="15">
        <v>116.0</v>
      </c>
      <c r="B117" s="84" t="s">
        <v>1557</v>
      </c>
      <c r="C117" s="17" t="s">
        <v>116</v>
      </c>
      <c r="D117" s="6">
        <v>2.023010047851E12</v>
      </c>
      <c r="E117" s="6">
        <v>1.1242319127E10</v>
      </c>
      <c r="F117" s="6" t="s">
        <v>1637</v>
      </c>
      <c r="G117" s="6" t="s">
        <v>1638</v>
      </c>
      <c r="H117" s="6" t="s">
        <v>1639</v>
      </c>
      <c r="I117" s="6" t="s">
        <v>126</v>
      </c>
      <c r="J117" s="6" t="s">
        <v>1640</v>
      </c>
      <c r="K117" s="6">
        <v>123456.0</v>
      </c>
      <c r="L117" s="6">
        <v>9.914067414E9</v>
      </c>
      <c r="M117" s="6">
        <v>7.508218841E9</v>
      </c>
      <c r="N117" s="6">
        <v>8.264367414E9</v>
      </c>
      <c r="O117" s="32">
        <v>38674.0</v>
      </c>
      <c r="P117" s="6" t="s">
        <v>1641</v>
      </c>
      <c r="Q117" s="6" t="s">
        <v>1642</v>
      </c>
      <c r="R117" s="6" t="s">
        <v>135</v>
      </c>
      <c r="S117" s="6" t="s">
        <v>136</v>
      </c>
      <c r="T117" s="6">
        <v>143008.0</v>
      </c>
      <c r="U117" s="6" t="s">
        <v>138</v>
      </c>
      <c r="V117" s="6" t="s">
        <v>187</v>
      </c>
      <c r="W117" s="6" t="s">
        <v>141</v>
      </c>
      <c r="X117" s="6" t="s">
        <v>208</v>
      </c>
      <c r="Y117" s="6" t="s">
        <v>144</v>
      </c>
      <c r="Z117" s="28"/>
      <c r="AA117" s="22" t="s">
        <v>1566</v>
      </c>
      <c r="AB117" s="28"/>
      <c r="AC117" s="28"/>
      <c r="AD117" s="7"/>
      <c r="AE117" s="7"/>
      <c r="AF117" s="30" t="s">
        <v>1643</v>
      </c>
    </row>
    <row r="118">
      <c r="A118" s="15">
        <v>117.0</v>
      </c>
      <c r="B118" s="84" t="s">
        <v>1557</v>
      </c>
      <c r="C118" s="17" t="s">
        <v>116</v>
      </c>
      <c r="D118" s="6">
        <v>2.023010058496E12</v>
      </c>
      <c r="E118" s="6">
        <v>1.1242319128E10</v>
      </c>
      <c r="F118" s="6" t="s">
        <v>481</v>
      </c>
      <c r="G118" s="6" t="s">
        <v>1210</v>
      </c>
      <c r="H118" s="6" t="s">
        <v>1253</v>
      </c>
      <c r="I118" s="6" t="s">
        <v>126</v>
      </c>
      <c r="J118" s="6" t="s">
        <v>1644</v>
      </c>
      <c r="K118" s="6" t="s">
        <v>1645</v>
      </c>
      <c r="L118" s="6">
        <v>8.054959302E9</v>
      </c>
      <c r="M118" s="6">
        <v>9.815828754E9</v>
      </c>
      <c r="N118" s="6">
        <v>9.888563612E9</v>
      </c>
      <c r="O118" s="23">
        <v>38541.0</v>
      </c>
      <c r="P118" s="6" t="s">
        <v>1646</v>
      </c>
      <c r="Q118" s="6" t="s">
        <v>1647</v>
      </c>
      <c r="R118" s="6" t="s">
        <v>135</v>
      </c>
      <c r="S118" s="6" t="s">
        <v>136</v>
      </c>
      <c r="T118" s="6">
        <v>143001.0</v>
      </c>
      <c r="U118" s="6" t="s">
        <v>138</v>
      </c>
      <c r="V118" s="6" t="s">
        <v>187</v>
      </c>
      <c r="W118" s="6" t="s">
        <v>141</v>
      </c>
      <c r="X118" s="6" t="s">
        <v>143</v>
      </c>
      <c r="Y118" s="6" t="s">
        <v>144</v>
      </c>
      <c r="Z118" s="28"/>
      <c r="AA118" s="22" t="s">
        <v>1566</v>
      </c>
      <c r="AB118" s="28"/>
      <c r="AC118" s="28"/>
      <c r="AD118" s="7"/>
      <c r="AE118" s="7"/>
      <c r="AF118" s="7"/>
    </row>
    <row r="119">
      <c r="A119" s="15">
        <v>118.0</v>
      </c>
      <c r="B119" s="84" t="s">
        <v>1557</v>
      </c>
      <c r="C119" s="17" t="s">
        <v>116</v>
      </c>
      <c r="D119" s="6">
        <v>2.023010063474E12</v>
      </c>
      <c r="E119" s="6">
        <v>1.1242319129E10</v>
      </c>
      <c r="F119" s="6" t="s">
        <v>1648</v>
      </c>
      <c r="G119" s="6" t="s">
        <v>1649</v>
      </c>
      <c r="H119" s="6" t="s">
        <v>1650</v>
      </c>
      <c r="I119" s="6" t="s">
        <v>126</v>
      </c>
      <c r="J119" s="6" t="s">
        <v>1651</v>
      </c>
      <c r="K119" s="6">
        <v>123456.0</v>
      </c>
      <c r="L119" s="6">
        <v>7.657937536E9</v>
      </c>
      <c r="M119" s="6">
        <v>9.878472258E9</v>
      </c>
      <c r="N119" s="6">
        <v>9.878472258E9</v>
      </c>
      <c r="O119" s="32">
        <v>38735.0</v>
      </c>
      <c r="P119" s="6" t="s">
        <v>1652</v>
      </c>
      <c r="Q119" s="6" t="s">
        <v>1653</v>
      </c>
      <c r="R119" s="6" t="s">
        <v>1654</v>
      </c>
      <c r="S119" s="6" t="s">
        <v>136</v>
      </c>
      <c r="T119" s="6">
        <v>144626.0</v>
      </c>
      <c r="U119" s="6" t="s">
        <v>321</v>
      </c>
      <c r="V119" s="6" t="s">
        <v>187</v>
      </c>
      <c r="W119" s="6" t="s">
        <v>141</v>
      </c>
      <c r="X119" s="6" t="s">
        <v>208</v>
      </c>
      <c r="Y119" s="6" t="s">
        <v>144</v>
      </c>
      <c r="Z119" s="28"/>
      <c r="AA119" s="22" t="s">
        <v>1566</v>
      </c>
      <c r="AB119" s="28"/>
      <c r="AC119" s="28"/>
      <c r="AD119" s="7"/>
      <c r="AE119" s="7"/>
      <c r="AF119" s="30" t="s">
        <v>1655</v>
      </c>
    </row>
    <row r="120">
      <c r="A120" s="15">
        <v>119.0</v>
      </c>
      <c r="B120" s="84" t="s">
        <v>1557</v>
      </c>
      <c r="C120" s="17" t="s">
        <v>116</v>
      </c>
      <c r="D120" s="6">
        <v>2.023010064339E12</v>
      </c>
      <c r="E120" s="6">
        <v>1.124231913E10</v>
      </c>
      <c r="F120" s="6" t="s">
        <v>1656</v>
      </c>
      <c r="G120" s="6" t="s">
        <v>1657</v>
      </c>
      <c r="H120" s="7"/>
      <c r="I120" s="6" t="s">
        <v>126</v>
      </c>
      <c r="J120" s="6" t="s">
        <v>1658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22" t="s">
        <v>1566</v>
      </c>
      <c r="AB120" s="7"/>
      <c r="AC120" s="7"/>
      <c r="AD120" s="7"/>
      <c r="AE120" s="7"/>
      <c r="AF120" s="7"/>
    </row>
    <row r="121">
      <c r="A121" s="15">
        <v>120.0</v>
      </c>
      <c r="B121" s="84" t="s">
        <v>1557</v>
      </c>
      <c r="C121" s="17" t="s">
        <v>116</v>
      </c>
      <c r="D121" s="6">
        <v>2.023010075761E12</v>
      </c>
      <c r="E121" s="6">
        <v>1.1242319131E10</v>
      </c>
      <c r="F121" s="6" t="s">
        <v>1659</v>
      </c>
      <c r="G121" s="6" t="s">
        <v>1660</v>
      </c>
      <c r="H121" s="6" t="s">
        <v>1661</v>
      </c>
      <c r="I121" s="6" t="s">
        <v>126</v>
      </c>
      <c r="J121" s="6" t="s">
        <v>1662</v>
      </c>
      <c r="K121" s="6" t="s">
        <v>1663</v>
      </c>
      <c r="L121" s="6">
        <v>9.779689358E9</v>
      </c>
      <c r="M121" s="6">
        <v>7.508884146E9</v>
      </c>
      <c r="N121" s="6">
        <v>7.508761566E9</v>
      </c>
      <c r="O121" s="23">
        <v>38695.0</v>
      </c>
      <c r="P121" s="6" t="s">
        <v>1664</v>
      </c>
      <c r="Q121" s="6" t="s">
        <v>1665</v>
      </c>
      <c r="R121" s="6" t="s">
        <v>246</v>
      </c>
      <c r="S121" s="6" t="s">
        <v>136</v>
      </c>
      <c r="T121" s="6">
        <v>143534.0</v>
      </c>
      <c r="U121" s="6" t="s">
        <v>138</v>
      </c>
      <c r="V121" s="6" t="s">
        <v>187</v>
      </c>
      <c r="W121" s="6" t="s">
        <v>141</v>
      </c>
      <c r="X121" s="6" t="s">
        <v>208</v>
      </c>
      <c r="Y121" s="6" t="s">
        <v>251</v>
      </c>
      <c r="Z121" s="28"/>
      <c r="AA121" s="22" t="s">
        <v>1566</v>
      </c>
      <c r="AB121" s="28"/>
      <c r="AC121" s="28"/>
      <c r="AD121" s="7"/>
      <c r="AE121" s="7"/>
      <c r="AF121" s="30" t="s">
        <v>1666</v>
      </c>
    </row>
    <row r="122">
      <c r="A122" s="15">
        <v>121.0</v>
      </c>
      <c r="B122" s="84" t="s">
        <v>1557</v>
      </c>
      <c r="C122" s="17" t="s">
        <v>116</v>
      </c>
      <c r="D122" s="6">
        <v>2.023010159496E12</v>
      </c>
      <c r="E122" s="6">
        <v>1.1242319133E10</v>
      </c>
      <c r="F122" s="6" t="s">
        <v>659</v>
      </c>
      <c r="G122" s="6" t="s">
        <v>1667</v>
      </c>
      <c r="H122" s="6" t="s">
        <v>1668</v>
      </c>
      <c r="I122" s="6" t="s">
        <v>126</v>
      </c>
      <c r="J122" s="6" t="s">
        <v>1669</v>
      </c>
      <c r="K122" s="6">
        <v>123456.0</v>
      </c>
      <c r="L122" s="6">
        <v>7.696108499E9</v>
      </c>
      <c r="M122" s="6">
        <v>9.501422661E9</v>
      </c>
      <c r="N122" s="6">
        <v>9.501422661E9</v>
      </c>
      <c r="O122" s="32">
        <v>38494.0</v>
      </c>
      <c r="P122" s="6" t="s">
        <v>1670</v>
      </c>
      <c r="Q122" s="6" t="s">
        <v>1671</v>
      </c>
      <c r="R122" s="6" t="s">
        <v>135</v>
      </c>
      <c r="S122" s="6" t="s">
        <v>136</v>
      </c>
      <c r="T122" s="6">
        <v>143001.0</v>
      </c>
      <c r="U122" s="6" t="s">
        <v>321</v>
      </c>
      <c r="V122" s="6" t="s">
        <v>187</v>
      </c>
      <c r="W122" s="6" t="s">
        <v>141</v>
      </c>
      <c r="X122" s="6" t="s">
        <v>143</v>
      </c>
      <c r="Y122" s="6" t="s">
        <v>144</v>
      </c>
      <c r="Z122" s="28"/>
      <c r="AA122" s="22" t="s">
        <v>1566</v>
      </c>
      <c r="AB122" s="28"/>
      <c r="AC122" s="28"/>
      <c r="AD122" s="7"/>
      <c r="AE122" s="7"/>
      <c r="AF122" s="30" t="s">
        <v>1672</v>
      </c>
    </row>
    <row r="123">
      <c r="A123" s="15">
        <v>122.0</v>
      </c>
      <c r="B123" s="84" t="s">
        <v>1557</v>
      </c>
      <c r="C123" s="17" t="s">
        <v>116</v>
      </c>
      <c r="D123" s="6">
        <v>2.023010159544E12</v>
      </c>
      <c r="E123" s="6">
        <v>1.1242319134E10</v>
      </c>
      <c r="F123" s="6" t="s">
        <v>456</v>
      </c>
      <c r="G123" s="6" t="s">
        <v>1673</v>
      </c>
      <c r="H123" s="6" t="s">
        <v>1674</v>
      </c>
      <c r="I123" s="6" t="s">
        <v>164</v>
      </c>
      <c r="J123" s="6" t="s">
        <v>1675</v>
      </c>
      <c r="K123" s="6">
        <v>123456.0</v>
      </c>
      <c r="L123" s="6">
        <v>9.814992274E9</v>
      </c>
      <c r="M123" s="6">
        <v>9.814992274E9</v>
      </c>
      <c r="N123" s="6">
        <v>9.814992274E9</v>
      </c>
      <c r="O123" s="32">
        <v>38579.0</v>
      </c>
      <c r="P123" s="6" t="s">
        <v>1676</v>
      </c>
      <c r="Q123" s="6" t="s">
        <v>1677</v>
      </c>
      <c r="R123" s="6" t="s">
        <v>716</v>
      </c>
      <c r="S123" s="6" t="s">
        <v>136</v>
      </c>
      <c r="T123" s="6">
        <v>143401.0</v>
      </c>
      <c r="U123" s="6" t="s">
        <v>321</v>
      </c>
      <c r="V123" s="6" t="s">
        <v>140</v>
      </c>
      <c r="W123" s="6" t="s">
        <v>141</v>
      </c>
      <c r="X123" s="6" t="s">
        <v>208</v>
      </c>
      <c r="Y123" s="6" t="s">
        <v>251</v>
      </c>
      <c r="Z123" s="28"/>
      <c r="AA123" s="22" t="s">
        <v>1566</v>
      </c>
      <c r="AB123" s="28"/>
      <c r="AC123" s="28"/>
      <c r="AD123" s="7"/>
      <c r="AE123" s="7"/>
      <c r="AF123" s="30" t="s">
        <v>1678</v>
      </c>
    </row>
    <row r="124">
      <c r="A124" s="15">
        <v>123.0</v>
      </c>
      <c r="B124" s="84" t="s">
        <v>1557</v>
      </c>
      <c r="C124" s="17" t="s">
        <v>116</v>
      </c>
      <c r="D124" s="6">
        <v>2.023010159561E12</v>
      </c>
      <c r="E124" s="6">
        <v>1.1242319135E10</v>
      </c>
      <c r="F124" s="6" t="s">
        <v>1679</v>
      </c>
      <c r="G124" s="6" t="s">
        <v>1680</v>
      </c>
      <c r="H124" s="6" t="s">
        <v>1435</v>
      </c>
      <c r="I124" s="6" t="s">
        <v>164</v>
      </c>
      <c r="J124" s="6" t="s">
        <v>1681</v>
      </c>
      <c r="K124" s="30" t="s">
        <v>291</v>
      </c>
      <c r="L124" s="6">
        <v>7.901701631E9</v>
      </c>
      <c r="M124" s="6">
        <v>9.872812852E9</v>
      </c>
      <c r="N124" s="6">
        <v>7.973064622E9</v>
      </c>
      <c r="O124" s="32">
        <v>38291.0</v>
      </c>
      <c r="P124" s="6" t="s">
        <v>1682</v>
      </c>
      <c r="Q124" s="6" t="s">
        <v>1683</v>
      </c>
      <c r="R124" s="6" t="s">
        <v>135</v>
      </c>
      <c r="S124" s="6" t="s">
        <v>136</v>
      </c>
      <c r="T124" s="30" t="s">
        <v>1684</v>
      </c>
      <c r="U124" s="6" t="s">
        <v>169</v>
      </c>
      <c r="V124" s="6" t="s">
        <v>66</v>
      </c>
      <c r="W124" s="6" t="s">
        <v>141</v>
      </c>
      <c r="X124" s="6" t="s">
        <v>188</v>
      </c>
      <c r="Y124" s="6" t="s">
        <v>251</v>
      </c>
      <c r="Z124" s="7"/>
      <c r="AA124" s="22" t="s">
        <v>1566</v>
      </c>
      <c r="AB124" s="7"/>
      <c r="AC124" s="7"/>
      <c r="AD124" s="7"/>
      <c r="AE124" s="7"/>
      <c r="AF124" s="30" t="s">
        <v>1685</v>
      </c>
    </row>
    <row r="125">
      <c r="A125" s="15">
        <v>124.0</v>
      </c>
      <c r="B125" s="84" t="s">
        <v>1557</v>
      </c>
      <c r="C125" s="17" t="s">
        <v>116</v>
      </c>
      <c r="D125" s="6">
        <v>2.023010159663E12</v>
      </c>
      <c r="E125" s="6">
        <v>1.1242319136E10</v>
      </c>
      <c r="F125" s="6" t="s">
        <v>1686</v>
      </c>
      <c r="G125" s="6" t="s">
        <v>1687</v>
      </c>
      <c r="H125" s="6" t="s">
        <v>1205</v>
      </c>
      <c r="I125" s="6" t="s">
        <v>126</v>
      </c>
      <c r="J125" s="6" t="s">
        <v>1688</v>
      </c>
      <c r="K125" s="6">
        <v>123456.0</v>
      </c>
      <c r="L125" s="6">
        <v>9.056476399E9</v>
      </c>
      <c r="M125" s="6">
        <v>7.508519083E9</v>
      </c>
      <c r="N125" s="6">
        <v>7.710192028E9</v>
      </c>
      <c r="O125" s="23">
        <v>39055.0</v>
      </c>
      <c r="P125" s="6" t="s">
        <v>1689</v>
      </c>
      <c r="Q125" s="6" t="s">
        <v>1690</v>
      </c>
      <c r="R125" s="6" t="s">
        <v>716</v>
      </c>
      <c r="S125" s="6" t="s">
        <v>136</v>
      </c>
      <c r="T125" s="6">
        <v>143117.0</v>
      </c>
      <c r="U125" s="6" t="s">
        <v>138</v>
      </c>
      <c r="V125" s="6" t="s">
        <v>187</v>
      </c>
      <c r="W125" s="6" t="s">
        <v>141</v>
      </c>
      <c r="X125" s="6" t="s">
        <v>208</v>
      </c>
      <c r="Y125" s="6" t="s">
        <v>144</v>
      </c>
      <c r="Z125" s="26" t="s">
        <v>80</v>
      </c>
      <c r="AA125" s="22" t="s">
        <v>1566</v>
      </c>
      <c r="AB125" s="28"/>
      <c r="AC125" s="28"/>
      <c r="AD125" s="7"/>
      <c r="AE125" s="7"/>
      <c r="AF125" s="30" t="s">
        <v>1691</v>
      </c>
    </row>
    <row r="126">
      <c r="A126" s="15">
        <v>125.0</v>
      </c>
      <c r="B126" s="84" t="s">
        <v>1557</v>
      </c>
      <c r="C126" s="17" t="s">
        <v>116</v>
      </c>
      <c r="D126" s="6">
        <v>2.023010159686E12</v>
      </c>
      <c r="E126" s="6">
        <v>1.1242319137E10</v>
      </c>
      <c r="F126" s="6" t="s">
        <v>1692</v>
      </c>
      <c r="G126" s="6" t="s">
        <v>1693</v>
      </c>
      <c r="H126" s="6" t="s">
        <v>1217</v>
      </c>
      <c r="I126" s="6" t="s">
        <v>126</v>
      </c>
      <c r="J126" s="6" t="s">
        <v>1694</v>
      </c>
      <c r="K126" s="6">
        <v>123456.0</v>
      </c>
      <c r="L126" s="6">
        <v>8.054339908E9</v>
      </c>
      <c r="M126" s="6">
        <v>8.146934411E9</v>
      </c>
      <c r="N126" s="6">
        <v>8.847367781E9</v>
      </c>
      <c r="O126" s="23">
        <v>38233.0</v>
      </c>
      <c r="P126" s="6" t="s">
        <v>1695</v>
      </c>
      <c r="Q126" s="6" t="s">
        <v>1696</v>
      </c>
      <c r="R126" s="6" t="s">
        <v>135</v>
      </c>
      <c r="S126" s="6" t="s">
        <v>136</v>
      </c>
      <c r="T126" s="6">
        <v>143115.0</v>
      </c>
      <c r="U126" s="6" t="s">
        <v>138</v>
      </c>
      <c r="V126" s="6" t="s">
        <v>187</v>
      </c>
      <c r="W126" s="6" t="s">
        <v>141</v>
      </c>
      <c r="X126" s="6" t="s">
        <v>143</v>
      </c>
      <c r="Y126" s="6" t="s">
        <v>144</v>
      </c>
      <c r="Z126" s="26" t="s">
        <v>80</v>
      </c>
      <c r="AA126" s="22" t="s">
        <v>1566</v>
      </c>
      <c r="AB126" s="28"/>
      <c r="AC126" s="28"/>
      <c r="AD126" s="7"/>
      <c r="AE126" s="7"/>
      <c r="AF126" s="30" t="s">
        <v>1697</v>
      </c>
    </row>
    <row r="127">
      <c r="A127" s="15">
        <v>126.0</v>
      </c>
      <c r="B127" s="84" t="s">
        <v>1557</v>
      </c>
      <c r="C127" s="17" t="s">
        <v>116</v>
      </c>
      <c r="D127" s="6">
        <v>2.023010159885E12</v>
      </c>
      <c r="E127" s="6">
        <v>1.124231914E10</v>
      </c>
      <c r="F127" s="6" t="s">
        <v>1060</v>
      </c>
      <c r="G127" s="6" t="s">
        <v>1698</v>
      </c>
      <c r="H127" s="6" t="s">
        <v>1699</v>
      </c>
      <c r="I127" s="6" t="s">
        <v>126</v>
      </c>
      <c r="J127" s="6" t="s">
        <v>1700</v>
      </c>
      <c r="K127" s="6">
        <v>123456.0</v>
      </c>
      <c r="L127" s="6">
        <v>7.087399063E9</v>
      </c>
      <c r="M127" s="6">
        <v>7.087399063E9</v>
      </c>
      <c r="N127" s="6">
        <v>9.988268251E9</v>
      </c>
      <c r="O127" s="32">
        <v>38431.0</v>
      </c>
      <c r="P127" s="6" t="s">
        <v>1701</v>
      </c>
      <c r="Q127" s="6" t="s">
        <v>1702</v>
      </c>
      <c r="R127" s="6" t="s">
        <v>135</v>
      </c>
      <c r="S127" s="6" t="s">
        <v>136</v>
      </c>
      <c r="T127" s="6">
        <v>143001.0</v>
      </c>
      <c r="U127" s="6" t="s">
        <v>138</v>
      </c>
      <c r="V127" s="6" t="s">
        <v>156</v>
      </c>
      <c r="W127" s="6" t="s">
        <v>141</v>
      </c>
      <c r="X127" s="6" t="s">
        <v>229</v>
      </c>
      <c r="Y127" s="6" t="s">
        <v>144</v>
      </c>
      <c r="Z127" s="26" t="s">
        <v>80</v>
      </c>
      <c r="AA127" s="22" t="s">
        <v>1566</v>
      </c>
      <c r="AB127" s="28"/>
      <c r="AC127" s="28"/>
      <c r="AD127" s="7"/>
      <c r="AE127" s="7"/>
      <c r="AF127" s="30" t="s">
        <v>1703</v>
      </c>
    </row>
    <row r="128">
      <c r="A128" s="15">
        <v>127.0</v>
      </c>
      <c r="B128" s="84" t="s">
        <v>1557</v>
      </c>
      <c r="C128" s="17" t="s">
        <v>116</v>
      </c>
      <c r="D128" s="6">
        <v>2.023010159958E12</v>
      </c>
      <c r="E128" s="6">
        <v>1.1242319141E10</v>
      </c>
      <c r="F128" s="6" t="s">
        <v>1704</v>
      </c>
      <c r="G128" s="6" t="s">
        <v>1705</v>
      </c>
      <c r="H128" s="6" t="s">
        <v>1706</v>
      </c>
      <c r="I128" s="6" t="s">
        <v>126</v>
      </c>
      <c r="J128" s="6" t="s">
        <v>1707</v>
      </c>
      <c r="K128" s="6">
        <v>123456.0</v>
      </c>
      <c r="L128" s="6">
        <v>8.054133184E9</v>
      </c>
      <c r="M128" s="6">
        <v>8.283963184E9</v>
      </c>
      <c r="N128" s="6">
        <v>7.901910681E9</v>
      </c>
      <c r="O128" s="23">
        <v>38139.0</v>
      </c>
      <c r="P128" s="6" t="s">
        <v>1708</v>
      </c>
      <c r="Q128" s="6" t="s">
        <v>1709</v>
      </c>
      <c r="R128" s="6" t="s">
        <v>135</v>
      </c>
      <c r="S128" s="6" t="s">
        <v>136</v>
      </c>
      <c r="T128" s="6">
        <v>143115.0</v>
      </c>
      <c r="U128" s="6" t="s">
        <v>138</v>
      </c>
      <c r="V128" s="6" t="s">
        <v>187</v>
      </c>
      <c r="W128" s="6" t="s">
        <v>141</v>
      </c>
      <c r="X128" s="6" t="s">
        <v>143</v>
      </c>
      <c r="Y128" s="6" t="s">
        <v>144</v>
      </c>
      <c r="Z128" s="26" t="s">
        <v>80</v>
      </c>
      <c r="AA128" s="22" t="s">
        <v>1566</v>
      </c>
      <c r="AB128" s="28"/>
      <c r="AC128" s="28"/>
      <c r="AD128" s="7"/>
      <c r="AE128" s="7"/>
      <c r="AF128" s="30" t="s">
        <v>1710</v>
      </c>
    </row>
    <row r="129">
      <c r="A129" s="15">
        <v>128.0</v>
      </c>
      <c r="B129" s="84" t="s">
        <v>1557</v>
      </c>
      <c r="C129" s="17" t="s">
        <v>116</v>
      </c>
      <c r="D129" s="6">
        <v>2.023010160154E12</v>
      </c>
      <c r="E129" s="6">
        <v>1.1242319143E10</v>
      </c>
      <c r="F129" s="6" t="s">
        <v>1711</v>
      </c>
      <c r="G129" s="6" t="s">
        <v>1712</v>
      </c>
      <c r="H129" s="6" t="s">
        <v>1713</v>
      </c>
      <c r="I129" s="6" t="s">
        <v>164</v>
      </c>
      <c r="J129" s="6" t="s">
        <v>1714</v>
      </c>
      <c r="K129" s="6">
        <v>123456.0</v>
      </c>
      <c r="L129" s="6">
        <v>7.986483652E9</v>
      </c>
      <c r="M129" s="6">
        <v>7.986483652E9</v>
      </c>
      <c r="N129" s="6">
        <v>9.501208204E9</v>
      </c>
      <c r="O129" s="32">
        <v>38195.0</v>
      </c>
      <c r="P129" s="6" t="s">
        <v>1715</v>
      </c>
      <c r="Q129" s="6" t="s">
        <v>1716</v>
      </c>
      <c r="R129" s="6" t="s">
        <v>135</v>
      </c>
      <c r="S129" s="6" t="s">
        <v>136</v>
      </c>
      <c r="T129" s="6">
        <v>143002.0</v>
      </c>
      <c r="U129" s="6" t="s">
        <v>138</v>
      </c>
      <c r="V129" s="6" t="s">
        <v>140</v>
      </c>
      <c r="W129" s="6" t="s">
        <v>141</v>
      </c>
      <c r="X129" s="6" t="s">
        <v>229</v>
      </c>
      <c r="Y129" s="6" t="s">
        <v>144</v>
      </c>
      <c r="Z129" s="26" t="s">
        <v>80</v>
      </c>
      <c r="AA129" s="22" t="s">
        <v>1566</v>
      </c>
      <c r="AB129" s="28"/>
      <c r="AC129" s="28"/>
      <c r="AD129" s="7"/>
      <c r="AE129" s="7"/>
      <c r="AF129" s="30" t="s">
        <v>1717</v>
      </c>
    </row>
    <row r="130">
      <c r="A130" s="15">
        <v>129.0</v>
      </c>
      <c r="B130" s="84" t="s">
        <v>1557</v>
      </c>
      <c r="C130" s="17" t="s">
        <v>116</v>
      </c>
      <c r="D130" s="6">
        <v>2.023010160877E12</v>
      </c>
      <c r="E130" s="6">
        <v>1.1242319145E10</v>
      </c>
      <c r="F130" s="6" t="s">
        <v>1718</v>
      </c>
      <c r="G130" s="6" t="s">
        <v>122</v>
      </c>
      <c r="H130" s="6" t="s">
        <v>1119</v>
      </c>
      <c r="I130" s="6" t="s">
        <v>126</v>
      </c>
      <c r="J130" s="6" t="s">
        <v>1719</v>
      </c>
      <c r="K130" s="6">
        <v>123456.0</v>
      </c>
      <c r="L130" s="6">
        <v>7.97342174E9</v>
      </c>
      <c r="M130" s="6">
        <v>9.814098691E9</v>
      </c>
      <c r="N130" s="6">
        <v>9.814098691E9</v>
      </c>
      <c r="O130" s="23">
        <v>38362.0</v>
      </c>
      <c r="P130" s="6" t="s">
        <v>1720</v>
      </c>
      <c r="Q130" s="6" t="s">
        <v>1721</v>
      </c>
      <c r="R130" s="6" t="s">
        <v>1722</v>
      </c>
      <c r="S130" s="6" t="s">
        <v>136</v>
      </c>
      <c r="T130" s="6">
        <v>143115.0</v>
      </c>
      <c r="U130" s="6" t="s">
        <v>321</v>
      </c>
      <c r="V130" s="6" t="s">
        <v>187</v>
      </c>
      <c r="W130" s="6" t="s">
        <v>141</v>
      </c>
      <c r="X130" s="6" t="s">
        <v>208</v>
      </c>
      <c r="Y130" s="6" t="s">
        <v>144</v>
      </c>
      <c r="Z130" s="28"/>
      <c r="AA130" s="22" t="s">
        <v>1566</v>
      </c>
      <c r="AB130" s="28"/>
      <c r="AC130" s="28"/>
      <c r="AD130" s="7"/>
      <c r="AE130" s="7"/>
      <c r="AF130" s="30" t="s">
        <v>1723</v>
      </c>
    </row>
    <row r="131">
      <c r="A131" s="15">
        <v>130.0</v>
      </c>
      <c r="B131" s="84" t="s">
        <v>1557</v>
      </c>
      <c r="C131" s="17" t="s">
        <v>116</v>
      </c>
      <c r="D131" s="6">
        <v>2.023010161223E12</v>
      </c>
      <c r="E131" s="6">
        <v>1.1242319148E10</v>
      </c>
      <c r="F131" s="6" t="s">
        <v>259</v>
      </c>
      <c r="G131" s="6" t="s">
        <v>299</v>
      </c>
      <c r="H131" s="6" t="s">
        <v>430</v>
      </c>
      <c r="I131" s="6" t="s">
        <v>126</v>
      </c>
      <c r="J131" s="6" t="s">
        <v>1724</v>
      </c>
      <c r="K131" s="6">
        <v>123456.0</v>
      </c>
      <c r="L131" s="6">
        <v>9.551134E9</v>
      </c>
      <c r="M131" s="6">
        <v>9.915834554E9</v>
      </c>
      <c r="N131" s="6">
        <v>8.29559316E9</v>
      </c>
      <c r="O131" s="23">
        <v>38268.0</v>
      </c>
      <c r="P131" s="6" t="s">
        <v>1725</v>
      </c>
      <c r="Q131" s="6" t="s">
        <v>1726</v>
      </c>
      <c r="R131" s="6" t="s">
        <v>1727</v>
      </c>
      <c r="S131" s="6" t="s">
        <v>136</v>
      </c>
      <c r="T131" s="6">
        <v>151210.0</v>
      </c>
      <c r="U131" s="6" t="s">
        <v>138</v>
      </c>
      <c r="V131" s="6" t="s">
        <v>187</v>
      </c>
      <c r="W131" s="6" t="s">
        <v>141</v>
      </c>
      <c r="X131" s="6" t="s">
        <v>229</v>
      </c>
      <c r="Y131" s="6" t="s">
        <v>144</v>
      </c>
      <c r="Z131" s="26" t="s">
        <v>80</v>
      </c>
      <c r="AA131" s="22" t="s">
        <v>1566</v>
      </c>
      <c r="AB131" s="28"/>
      <c r="AC131" s="28"/>
      <c r="AD131" s="7"/>
      <c r="AE131" s="7"/>
      <c r="AF131" s="30" t="s">
        <v>1728</v>
      </c>
    </row>
    <row r="132">
      <c r="A132" s="15">
        <v>131.0</v>
      </c>
      <c r="B132" s="84" t="s">
        <v>1557</v>
      </c>
      <c r="C132" s="17" t="s">
        <v>116</v>
      </c>
      <c r="D132" s="6">
        <v>2.023010161358E12</v>
      </c>
      <c r="E132" s="6">
        <v>1.1242319149E10</v>
      </c>
      <c r="F132" s="6" t="s">
        <v>448</v>
      </c>
      <c r="G132" s="6" t="s">
        <v>1729</v>
      </c>
      <c r="H132" s="6" t="s">
        <v>1205</v>
      </c>
      <c r="I132" s="6" t="s">
        <v>126</v>
      </c>
      <c r="J132" s="6" t="s">
        <v>1730</v>
      </c>
      <c r="K132" s="6">
        <v>123456.0</v>
      </c>
      <c r="L132" s="6">
        <v>8.284869406E9</v>
      </c>
      <c r="M132" s="6">
        <v>9.056199133E9</v>
      </c>
      <c r="N132" s="6">
        <v>7.508052282E9</v>
      </c>
      <c r="O132" s="32">
        <v>38409.0</v>
      </c>
      <c r="P132" s="6" t="s">
        <v>1731</v>
      </c>
      <c r="Q132" s="6" t="s">
        <v>1732</v>
      </c>
      <c r="R132" s="6" t="s">
        <v>135</v>
      </c>
      <c r="S132" s="6" t="s">
        <v>136</v>
      </c>
      <c r="T132" s="6">
        <v>143119.0</v>
      </c>
      <c r="U132" s="6" t="s">
        <v>169</v>
      </c>
      <c r="V132" s="6" t="s">
        <v>187</v>
      </c>
      <c r="W132" s="6" t="s">
        <v>141</v>
      </c>
      <c r="X132" s="6" t="s">
        <v>208</v>
      </c>
      <c r="Y132" s="6" t="s">
        <v>144</v>
      </c>
      <c r="Z132" s="28"/>
      <c r="AA132" s="22" t="s">
        <v>1566</v>
      </c>
      <c r="AB132" s="28"/>
      <c r="AC132" s="28"/>
      <c r="AD132" s="7"/>
      <c r="AE132" s="7"/>
      <c r="AF132" s="30" t="s">
        <v>1733</v>
      </c>
    </row>
    <row r="133">
      <c r="A133" s="15">
        <v>132.0</v>
      </c>
      <c r="B133" s="84" t="s">
        <v>1557</v>
      </c>
      <c r="C133" s="17" t="s">
        <v>116</v>
      </c>
      <c r="D133" s="6">
        <v>2.023010161381E12</v>
      </c>
      <c r="E133" s="6">
        <v>1.124231915E10</v>
      </c>
      <c r="F133" s="6" t="s">
        <v>1153</v>
      </c>
      <c r="G133" s="6" t="s">
        <v>893</v>
      </c>
      <c r="H133" s="6" t="s">
        <v>1734</v>
      </c>
      <c r="I133" s="6" t="s">
        <v>126</v>
      </c>
      <c r="J133" s="6" t="s">
        <v>1735</v>
      </c>
      <c r="K133" s="6">
        <v>123456.0</v>
      </c>
      <c r="L133" s="6">
        <v>6.283132802E9</v>
      </c>
      <c r="M133" s="6">
        <v>9.501211671E9</v>
      </c>
      <c r="N133" s="6">
        <v>9.779553496E9</v>
      </c>
      <c r="O133" s="23">
        <v>39028.0</v>
      </c>
      <c r="P133" s="6" t="s">
        <v>1736</v>
      </c>
      <c r="Q133" s="6" t="s">
        <v>1737</v>
      </c>
      <c r="R133" s="6" t="s">
        <v>437</v>
      </c>
      <c r="S133" s="6" t="s">
        <v>136</v>
      </c>
      <c r="T133" s="6">
        <v>143406.0</v>
      </c>
      <c r="U133" s="6" t="s">
        <v>321</v>
      </c>
      <c r="V133" s="6" t="s">
        <v>187</v>
      </c>
      <c r="W133" s="6" t="s">
        <v>141</v>
      </c>
      <c r="X133" s="6" t="s">
        <v>208</v>
      </c>
      <c r="Y133" s="6" t="s">
        <v>144</v>
      </c>
      <c r="Z133" s="28"/>
      <c r="AA133" s="22" t="s">
        <v>1566</v>
      </c>
      <c r="AB133" s="28"/>
      <c r="AC133" s="28"/>
      <c r="AD133" s="7"/>
      <c r="AE133" s="7"/>
      <c r="AF133" s="30" t="s">
        <v>1738</v>
      </c>
    </row>
    <row r="134">
      <c r="A134" s="15">
        <v>133.0</v>
      </c>
      <c r="B134" s="84" t="s">
        <v>1557</v>
      </c>
      <c r="C134" s="17" t="s">
        <v>116</v>
      </c>
      <c r="D134" s="6">
        <v>2.023010161465E12</v>
      </c>
      <c r="E134" s="6">
        <v>1.1242319151E10</v>
      </c>
      <c r="F134" s="6" t="s">
        <v>1739</v>
      </c>
      <c r="G134" s="6" t="s">
        <v>1204</v>
      </c>
      <c r="H134" s="6" t="s">
        <v>1740</v>
      </c>
      <c r="I134" s="6" t="s">
        <v>126</v>
      </c>
      <c r="J134" s="6" t="s">
        <v>1741</v>
      </c>
      <c r="K134" s="30" t="s">
        <v>291</v>
      </c>
      <c r="L134" s="6">
        <v>8.427571667E9</v>
      </c>
      <c r="M134" s="6">
        <v>7.837800158E9</v>
      </c>
      <c r="N134" s="6">
        <v>8.360212829E9</v>
      </c>
      <c r="O134" s="32">
        <v>38317.0</v>
      </c>
      <c r="P134" s="6" t="s">
        <v>1742</v>
      </c>
      <c r="Q134" s="6" t="s">
        <v>1743</v>
      </c>
      <c r="R134" s="6" t="s">
        <v>1744</v>
      </c>
      <c r="S134" s="6" t="s">
        <v>296</v>
      </c>
      <c r="T134" s="30" t="s">
        <v>1745</v>
      </c>
      <c r="U134" s="6" t="s">
        <v>169</v>
      </c>
      <c r="V134" s="6" t="s">
        <v>156</v>
      </c>
      <c r="W134" s="6" t="s">
        <v>1746</v>
      </c>
      <c r="X134" s="6" t="s">
        <v>250</v>
      </c>
      <c r="Y134" s="6" t="s">
        <v>144</v>
      </c>
      <c r="Z134" s="7"/>
      <c r="AA134" s="22" t="s">
        <v>1566</v>
      </c>
      <c r="AB134" s="7"/>
      <c r="AC134" s="7"/>
      <c r="AD134" s="7"/>
      <c r="AE134" s="7"/>
      <c r="AF134" s="30" t="s">
        <v>1747</v>
      </c>
    </row>
    <row r="135">
      <c r="A135" s="15">
        <v>134.0</v>
      </c>
      <c r="B135" s="84" t="s">
        <v>1557</v>
      </c>
      <c r="C135" s="17" t="s">
        <v>116</v>
      </c>
      <c r="D135" s="6">
        <v>2.023010161544E12</v>
      </c>
      <c r="E135" s="6">
        <v>1.1242319152E10</v>
      </c>
      <c r="F135" s="6" t="s">
        <v>1748</v>
      </c>
      <c r="G135" s="6" t="s">
        <v>591</v>
      </c>
      <c r="H135" s="6" t="s">
        <v>1749</v>
      </c>
      <c r="I135" s="6" t="s">
        <v>126</v>
      </c>
      <c r="J135" s="6" t="s">
        <v>1750</v>
      </c>
      <c r="K135" s="6">
        <v>123456.0</v>
      </c>
      <c r="L135" s="6">
        <v>7.087605922E9</v>
      </c>
      <c r="M135" s="6">
        <v>7.901915922E9</v>
      </c>
      <c r="N135" s="6">
        <v>7.901924221E9</v>
      </c>
      <c r="O135" s="32">
        <v>38199.0</v>
      </c>
      <c r="P135" s="6" t="s">
        <v>1751</v>
      </c>
      <c r="Q135" s="6" t="s">
        <v>1752</v>
      </c>
      <c r="R135" s="6" t="s">
        <v>135</v>
      </c>
      <c r="S135" s="6" t="s">
        <v>136</v>
      </c>
      <c r="T135" s="6">
        <v>143001.0</v>
      </c>
      <c r="U135" s="6" t="s">
        <v>138</v>
      </c>
      <c r="V135" s="6" t="s">
        <v>187</v>
      </c>
      <c r="W135" s="6" t="s">
        <v>141</v>
      </c>
      <c r="X135" s="6" t="s">
        <v>229</v>
      </c>
      <c r="Y135" s="6" t="s">
        <v>144</v>
      </c>
      <c r="Z135" s="26" t="s">
        <v>80</v>
      </c>
      <c r="AA135" s="22" t="s">
        <v>1566</v>
      </c>
      <c r="AB135" s="28"/>
      <c r="AC135" s="28"/>
      <c r="AD135" s="7"/>
      <c r="AE135" s="7"/>
      <c r="AF135" s="30" t="s">
        <v>1753</v>
      </c>
    </row>
    <row r="136">
      <c r="A136" s="15">
        <v>135.0</v>
      </c>
      <c r="B136" s="84" t="s">
        <v>1557</v>
      </c>
      <c r="C136" s="17" t="s">
        <v>116</v>
      </c>
      <c r="D136" s="6">
        <v>2.023010161756E12</v>
      </c>
      <c r="E136" s="6">
        <v>1.1242319155E10</v>
      </c>
      <c r="F136" s="6" t="s">
        <v>1754</v>
      </c>
      <c r="G136" s="6" t="s">
        <v>1755</v>
      </c>
      <c r="H136" s="6" t="s">
        <v>1756</v>
      </c>
      <c r="I136" s="6" t="s">
        <v>126</v>
      </c>
      <c r="J136" s="6" t="s">
        <v>1757</v>
      </c>
      <c r="K136" s="6">
        <v>123456.0</v>
      </c>
      <c r="L136" s="6">
        <v>8.264145953E9</v>
      </c>
      <c r="M136" s="6">
        <v>8.19602054E9</v>
      </c>
      <c r="N136" s="6">
        <v>8.19602054E9</v>
      </c>
      <c r="O136" s="6" t="s">
        <v>1758</v>
      </c>
      <c r="P136" s="6" t="s">
        <v>1759</v>
      </c>
      <c r="Q136" s="6" t="s">
        <v>1760</v>
      </c>
      <c r="R136" s="6" t="s">
        <v>1324</v>
      </c>
      <c r="S136" s="6" t="s">
        <v>136</v>
      </c>
      <c r="T136" s="6">
        <v>151502.0</v>
      </c>
      <c r="U136" s="6" t="s">
        <v>138</v>
      </c>
      <c r="V136" s="6" t="s">
        <v>187</v>
      </c>
      <c r="W136" s="6" t="s">
        <v>141</v>
      </c>
      <c r="X136" s="6" t="s">
        <v>229</v>
      </c>
      <c r="Y136" s="6" t="s">
        <v>144</v>
      </c>
      <c r="Z136" s="28"/>
      <c r="AA136" s="22" t="s">
        <v>1566</v>
      </c>
      <c r="AB136" s="28"/>
      <c r="AC136" s="28"/>
      <c r="AD136" s="7"/>
      <c r="AE136" s="7"/>
      <c r="AF136" s="7"/>
    </row>
    <row r="137">
      <c r="A137" s="15">
        <v>136.0</v>
      </c>
      <c r="B137" s="84" t="s">
        <v>1557</v>
      </c>
      <c r="C137" s="17" t="s">
        <v>116</v>
      </c>
      <c r="D137" s="6">
        <v>2.02301016178E12</v>
      </c>
      <c r="E137" s="6">
        <v>1.1242319156E10</v>
      </c>
      <c r="F137" s="6" t="s">
        <v>1761</v>
      </c>
      <c r="G137" s="6" t="s">
        <v>1762</v>
      </c>
      <c r="H137" s="6" t="s">
        <v>1763</v>
      </c>
      <c r="I137" s="6" t="s">
        <v>126</v>
      </c>
      <c r="J137" s="6" t="s">
        <v>1764</v>
      </c>
      <c r="K137" s="6">
        <v>123456.0</v>
      </c>
      <c r="L137" s="6">
        <v>9.780782408E9</v>
      </c>
      <c r="M137" s="6">
        <v>8.146124008E9</v>
      </c>
      <c r="N137" s="6">
        <v>7.527009243E9</v>
      </c>
      <c r="O137" s="32">
        <v>38640.0</v>
      </c>
      <c r="P137" s="6" t="s">
        <v>1765</v>
      </c>
      <c r="Q137" s="6" t="s">
        <v>1766</v>
      </c>
      <c r="R137" s="6" t="s">
        <v>437</v>
      </c>
      <c r="S137" s="6" t="s">
        <v>136</v>
      </c>
      <c r="T137" s="6">
        <v>143401.0</v>
      </c>
      <c r="U137" s="6" t="s">
        <v>138</v>
      </c>
      <c r="V137" s="6" t="s">
        <v>187</v>
      </c>
      <c r="W137" s="6" t="s">
        <v>141</v>
      </c>
      <c r="X137" s="6" t="s">
        <v>229</v>
      </c>
      <c r="Y137" s="6" t="s">
        <v>144</v>
      </c>
      <c r="Z137" s="26" t="s">
        <v>80</v>
      </c>
      <c r="AA137" s="22" t="s">
        <v>1566</v>
      </c>
      <c r="AB137" s="28"/>
      <c r="AC137" s="28"/>
      <c r="AD137" s="7"/>
      <c r="AE137" s="7"/>
      <c r="AF137" s="30" t="s">
        <v>1767</v>
      </c>
    </row>
    <row r="138">
      <c r="A138" s="15">
        <v>137.0</v>
      </c>
      <c r="B138" s="84" t="s">
        <v>1557</v>
      </c>
      <c r="C138" s="17" t="s">
        <v>116</v>
      </c>
      <c r="D138" s="6">
        <v>2.023010160464E12</v>
      </c>
      <c r="E138" s="6">
        <v>1.1242319158E10</v>
      </c>
      <c r="F138" s="6" t="s">
        <v>1768</v>
      </c>
      <c r="G138" s="6" t="s">
        <v>591</v>
      </c>
      <c r="H138" s="6" t="s">
        <v>685</v>
      </c>
      <c r="I138" s="6" t="s">
        <v>164</v>
      </c>
      <c r="J138" s="6" t="s">
        <v>1769</v>
      </c>
      <c r="K138" s="30" t="s">
        <v>291</v>
      </c>
      <c r="L138" s="6">
        <v>6.280401211E9</v>
      </c>
      <c r="M138" s="6">
        <v>9.779286822E9</v>
      </c>
      <c r="N138" s="6">
        <v>9.764652573E9</v>
      </c>
      <c r="O138" s="32">
        <v>38435.0</v>
      </c>
      <c r="P138" s="6" t="s">
        <v>1770</v>
      </c>
      <c r="Q138" s="6" t="s">
        <v>1771</v>
      </c>
      <c r="R138" s="6" t="s">
        <v>135</v>
      </c>
      <c r="S138" s="6" t="s">
        <v>136</v>
      </c>
      <c r="T138" s="30" t="s">
        <v>1772</v>
      </c>
      <c r="U138" s="6" t="s">
        <v>169</v>
      </c>
      <c r="V138" s="6" t="s">
        <v>66</v>
      </c>
      <c r="W138" s="6" t="s">
        <v>141</v>
      </c>
      <c r="X138" s="6" t="s">
        <v>250</v>
      </c>
      <c r="Y138" s="6" t="s">
        <v>144</v>
      </c>
      <c r="Z138" s="7"/>
      <c r="AA138" s="22" t="s">
        <v>1566</v>
      </c>
      <c r="AB138" s="7"/>
      <c r="AC138" s="7"/>
      <c r="AD138" s="7"/>
      <c r="AE138" s="7"/>
      <c r="AF138" s="30" t="s">
        <v>1773</v>
      </c>
    </row>
    <row r="139">
      <c r="A139" s="15">
        <v>138.0</v>
      </c>
      <c r="B139" s="84" t="s">
        <v>1557</v>
      </c>
      <c r="C139" s="17" t="s">
        <v>116</v>
      </c>
      <c r="D139" s="6">
        <v>2.023010160513E12</v>
      </c>
      <c r="E139" s="6">
        <v>1.1242319159E10</v>
      </c>
      <c r="F139" s="6" t="s">
        <v>1774</v>
      </c>
      <c r="G139" s="6" t="s">
        <v>1775</v>
      </c>
      <c r="H139" s="6" t="s">
        <v>1776</v>
      </c>
      <c r="I139" s="6" t="s">
        <v>126</v>
      </c>
      <c r="J139" s="6" t="s">
        <v>1777</v>
      </c>
      <c r="K139" s="6">
        <v>1.234562033E9</v>
      </c>
      <c r="L139" s="6">
        <v>7.888818138E9</v>
      </c>
      <c r="M139" s="6">
        <v>9.815196463E9</v>
      </c>
      <c r="N139" s="6">
        <v>7.626091309E9</v>
      </c>
      <c r="O139" s="83">
        <v>38667.0</v>
      </c>
      <c r="P139" s="6" t="s">
        <v>1778</v>
      </c>
      <c r="Q139" s="6" t="s">
        <v>1779</v>
      </c>
      <c r="R139" s="6" t="s">
        <v>1780</v>
      </c>
      <c r="S139" s="6" t="s">
        <v>136</v>
      </c>
      <c r="T139" s="6">
        <v>152124.0</v>
      </c>
      <c r="U139" s="6" t="s">
        <v>321</v>
      </c>
      <c r="V139" s="6" t="s">
        <v>187</v>
      </c>
      <c r="W139" s="6" t="s">
        <v>141</v>
      </c>
      <c r="X139" s="6" t="s">
        <v>229</v>
      </c>
      <c r="Y139" s="6" t="s">
        <v>251</v>
      </c>
      <c r="Z139" s="28"/>
      <c r="AA139" s="22" t="s">
        <v>1566</v>
      </c>
      <c r="AB139" s="28"/>
      <c r="AC139" s="28"/>
      <c r="AD139" s="7"/>
      <c r="AE139" s="7"/>
      <c r="AF139" s="30" t="s">
        <v>1781</v>
      </c>
    </row>
    <row r="140">
      <c r="A140" s="15">
        <v>139.0</v>
      </c>
      <c r="B140" s="84" t="s">
        <v>1557</v>
      </c>
      <c r="C140" s="17" t="s">
        <v>116</v>
      </c>
      <c r="D140" s="6">
        <v>2.023010160591E12</v>
      </c>
      <c r="E140" s="6">
        <v>1.124231916E10</v>
      </c>
      <c r="F140" s="6" t="s">
        <v>1782</v>
      </c>
      <c r="G140" s="6" t="s">
        <v>932</v>
      </c>
      <c r="H140" s="6" t="s">
        <v>1783</v>
      </c>
      <c r="I140" s="6" t="s">
        <v>126</v>
      </c>
      <c r="J140" s="6" t="s">
        <v>1784</v>
      </c>
      <c r="K140" s="30" t="s">
        <v>291</v>
      </c>
      <c r="L140" s="6">
        <v>7.08717789E8</v>
      </c>
      <c r="M140" s="6">
        <v>9.464778891E9</v>
      </c>
      <c r="N140" s="6">
        <v>9.915708891E9</v>
      </c>
      <c r="O140" s="32">
        <v>38078.0</v>
      </c>
      <c r="P140" s="6" t="s">
        <v>1785</v>
      </c>
      <c r="Q140" s="6" t="s">
        <v>1786</v>
      </c>
      <c r="R140" s="6" t="s">
        <v>135</v>
      </c>
      <c r="S140" s="6" t="s">
        <v>136</v>
      </c>
      <c r="T140" s="30" t="s">
        <v>186</v>
      </c>
      <c r="U140" s="6" t="s">
        <v>138</v>
      </c>
      <c r="V140" s="6" t="s">
        <v>156</v>
      </c>
      <c r="W140" s="6" t="s">
        <v>141</v>
      </c>
      <c r="X140" s="6" t="s">
        <v>718</v>
      </c>
      <c r="Y140" s="6" t="s">
        <v>144</v>
      </c>
      <c r="Z140" s="6" t="s">
        <v>80</v>
      </c>
      <c r="AA140" s="22" t="s">
        <v>1566</v>
      </c>
      <c r="AB140" s="7"/>
      <c r="AC140" s="7"/>
      <c r="AD140" s="7"/>
      <c r="AE140" s="7"/>
      <c r="AF140" s="30" t="s">
        <v>1787</v>
      </c>
    </row>
    <row r="141">
      <c r="A141" s="15">
        <v>140.0</v>
      </c>
      <c r="B141" s="84" t="s">
        <v>1557</v>
      </c>
      <c r="C141" s="17" t="s">
        <v>116</v>
      </c>
      <c r="D141" s="6">
        <v>2.023010160621E12</v>
      </c>
      <c r="E141" s="6">
        <v>1.1242319161E10</v>
      </c>
      <c r="F141" s="6" t="s">
        <v>1022</v>
      </c>
      <c r="G141" s="6" t="s">
        <v>1788</v>
      </c>
      <c r="H141" s="6" t="s">
        <v>1789</v>
      </c>
      <c r="I141" s="6" t="s">
        <v>126</v>
      </c>
      <c r="J141" s="6" t="s">
        <v>1790</v>
      </c>
      <c r="K141" s="6">
        <v>123456.0</v>
      </c>
      <c r="L141" s="6">
        <v>8.544945131E9</v>
      </c>
      <c r="M141" s="6">
        <v>8.054216148E9</v>
      </c>
      <c r="N141" s="6">
        <v>8.427491036E9</v>
      </c>
      <c r="O141" s="32">
        <v>38290.0</v>
      </c>
      <c r="P141" s="6" t="s">
        <v>1791</v>
      </c>
      <c r="Q141" s="6" t="s">
        <v>1792</v>
      </c>
      <c r="R141" s="6" t="s">
        <v>1259</v>
      </c>
      <c r="S141" s="6" t="s">
        <v>136</v>
      </c>
      <c r="T141" s="6">
        <v>143001.0</v>
      </c>
      <c r="U141" s="6" t="s">
        <v>169</v>
      </c>
      <c r="V141" s="6" t="s">
        <v>187</v>
      </c>
      <c r="W141" s="6" t="s">
        <v>141</v>
      </c>
      <c r="X141" s="6" t="s">
        <v>143</v>
      </c>
      <c r="Y141" s="6" t="s">
        <v>144</v>
      </c>
      <c r="Z141" s="28"/>
      <c r="AA141" s="22" t="s">
        <v>1566</v>
      </c>
      <c r="AB141" s="28"/>
      <c r="AC141" s="28"/>
      <c r="AD141" s="7"/>
      <c r="AE141" s="7"/>
      <c r="AF141" s="30" t="s">
        <v>1793</v>
      </c>
    </row>
    <row r="142">
      <c r="A142" s="15">
        <v>141.0</v>
      </c>
      <c r="B142" s="84" t="s">
        <v>1557</v>
      </c>
      <c r="C142" s="17" t="s">
        <v>116</v>
      </c>
      <c r="D142" s="6">
        <v>2.023010160742E12</v>
      </c>
      <c r="E142" s="6">
        <v>1.1242319163E10</v>
      </c>
      <c r="F142" s="6" t="s">
        <v>1794</v>
      </c>
      <c r="G142" s="6" t="s">
        <v>1795</v>
      </c>
      <c r="H142" s="6" t="s">
        <v>1796</v>
      </c>
      <c r="I142" s="6" t="s">
        <v>126</v>
      </c>
      <c r="J142" s="6" t="s">
        <v>1797</v>
      </c>
      <c r="K142" s="30" t="s">
        <v>291</v>
      </c>
      <c r="L142" s="6">
        <v>7.719752158E9</v>
      </c>
      <c r="M142" s="6">
        <v>8.544934647E9</v>
      </c>
      <c r="N142" s="6">
        <v>9.592950501E9</v>
      </c>
      <c r="O142" s="32">
        <v>37901.0</v>
      </c>
      <c r="P142" s="6" t="s">
        <v>1798</v>
      </c>
      <c r="Q142" s="6" t="s">
        <v>1799</v>
      </c>
      <c r="R142" s="6" t="s">
        <v>1800</v>
      </c>
      <c r="S142" s="6" t="s">
        <v>136</v>
      </c>
      <c r="T142" s="30" t="s">
        <v>1801</v>
      </c>
      <c r="U142" s="6" t="s">
        <v>321</v>
      </c>
      <c r="V142" s="6" t="s">
        <v>156</v>
      </c>
      <c r="W142" s="6" t="s">
        <v>141</v>
      </c>
      <c r="X142" s="6" t="s">
        <v>250</v>
      </c>
      <c r="Y142" s="6" t="s">
        <v>144</v>
      </c>
      <c r="Z142" s="7"/>
      <c r="AA142" s="22" t="s">
        <v>1566</v>
      </c>
      <c r="AB142" s="7"/>
      <c r="AC142" s="7"/>
      <c r="AD142" s="7"/>
      <c r="AE142" s="7"/>
      <c r="AF142" s="30" t="s">
        <v>1802</v>
      </c>
    </row>
    <row r="143">
      <c r="A143" s="15">
        <v>142.0</v>
      </c>
      <c r="B143" s="84" t="s">
        <v>1557</v>
      </c>
      <c r="C143" s="17" t="s">
        <v>116</v>
      </c>
      <c r="D143" s="6">
        <v>2.023010162039E12</v>
      </c>
      <c r="E143" s="6">
        <v>1.1242319164E10</v>
      </c>
      <c r="F143" s="6" t="s">
        <v>1803</v>
      </c>
      <c r="G143" s="6" t="s">
        <v>161</v>
      </c>
      <c r="H143" s="6" t="s">
        <v>1804</v>
      </c>
      <c r="I143" s="6" t="s">
        <v>126</v>
      </c>
      <c r="J143" s="6" t="s">
        <v>1805</v>
      </c>
      <c r="K143" s="30" t="s">
        <v>291</v>
      </c>
      <c r="L143" s="6">
        <v>7.009566447E9</v>
      </c>
      <c r="M143" s="6">
        <v>9.471372983E9</v>
      </c>
      <c r="N143" s="6">
        <v>7.986455313E9</v>
      </c>
      <c r="O143" s="32">
        <v>38070.0</v>
      </c>
      <c r="P143" s="6" t="s">
        <v>1806</v>
      </c>
      <c r="Q143" s="6" t="s">
        <v>1807</v>
      </c>
      <c r="R143" s="6" t="s">
        <v>135</v>
      </c>
      <c r="S143" s="6" t="s">
        <v>136</v>
      </c>
      <c r="T143" s="30" t="s">
        <v>186</v>
      </c>
      <c r="U143" s="6" t="s">
        <v>169</v>
      </c>
      <c r="V143" s="6" t="s">
        <v>187</v>
      </c>
      <c r="W143" s="6" t="s">
        <v>141</v>
      </c>
      <c r="X143" s="6" t="s">
        <v>718</v>
      </c>
      <c r="Y143" s="6" t="s">
        <v>144</v>
      </c>
      <c r="Z143" s="7"/>
      <c r="AA143" s="22" t="s">
        <v>1566</v>
      </c>
      <c r="AB143" s="7"/>
      <c r="AC143" s="7"/>
      <c r="AD143" s="7"/>
      <c r="AE143" s="7"/>
      <c r="AF143" s="30" t="s">
        <v>1808</v>
      </c>
    </row>
    <row r="144">
      <c r="A144" s="15">
        <v>143.0</v>
      </c>
      <c r="B144" s="84" t="s">
        <v>1557</v>
      </c>
      <c r="C144" s="17" t="s">
        <v>116</v>
      </c>
      <c r="D144" s="6">
        <v>2.02301016204E12</v>
      </c>
      <c r="E144" s="6">
        <v>1.1242319165E10</v>
      </c>
      <c r="F144" s="6" t="s">
        <v>1083</v>
      </c>
      <c r="G144" s="6" t="s">
        <v>1809</v>
      </c>
      <c r="H144" s="6" t="s">
        <v>1810</v>
      </c>
      <c r="I144" s="6" t="s">
        <v>126</v>
      </c>
      <c r="J144" s="6" t="s">
        <v>1811</v>
      </c>
      <c r="K144" s="30" t="s">
        <v>291</v>
      </c>
      <c r="L144" s="6">
        <v>8.146789307E9</v>
      </c>
      <c r="M144" s="6">
        <v>7.81440584E9</v>
      </c>
      <c r="N144" s="6">
        <v>7.81440584E9</v>
      </c>
      <c r="O144" s="32">
        <v>38284.0</v>
      </c>
      <c r="P144" s="6" t="s">
        <v>1812</v>
      </c>
      <c r="Q144" s="6" t="s">
        <v>1813</v>
      </c>
      <c r="R144" s="6" t="s">
        <v>855</v>
      </c>
      <c r="S144" s="6" t="s">
        <v>136</v>
      </c>
      <c r="T144" s="30" t="s">
        <v>1814</v>
      </c>
      <c r="U144" s="6" t="s">
        <v>138</v>
      </c>
      <c r="V144" s="6" t="s">
        <v>156</v>
      </c>
      <c r="W144" s="6" t="s">
        <v>141</v>
      </c>
      <c r="X144" s="6" t="s">
        <v>250</v>
      </c>
      <c r="Y144" s="6" t="s">
        <v>144</v>
      </c>
      <c r="Z144" s="6" t="s">
        <v>80</v>
      </c>
      <c r="AA144" s="22" t="s">
        <v>1566</v>
      </c>
      <c r="AB144" s="7"/>
      <c r="AC144" s="7"/>
      <c r="AD144" s="7"/>
      <c r="AE144" s="7"/>
      <c r="AF144" s="30" t="s">
        <v>1815</v>
      </c>
    </row>
    <row r="145">
      <c r="A145" s="15">
        <v>144.0</v>
      </c>
      <c r="B145" s="84" t="s">
        <v>1557</v>
      </c>
      <c r="C145" s="17" t="s">
        <v>116</v>
      </c>
      <c r="D145" s="6">
        <v>2.023010162153E12</v>
      </c>
      <c r="E145" s="6">
        <v>1.1242319167E10</v>
      </c>
      <c r="F145" s="6" t="s">
        <v>1816</v>
      </c>
      <c r="G145" s="6" t="s">
        <v>1817</v>
      </c>
      <c r="H145" s="6" t="s">
        <v>1818</v>
      </c>
      <c r="I145" s="6" t="s">
        <v>126</v>
      </c>
      <c r="J145" s="6" t="s">
        <v>1819</v>
      </c>
      <c r="K145" s="6">
        <v>123456.0</v>
      </c>
      <c r="L145" s="6">
        <v>9.815257079E9</v>
      </c>
      <c r="M145" s="6">
        <v>9.855554142E9</v>
      </c>
      <c r="N145" s="6">
        <v>9.478152096E9</v>
      </c>
      <c r="O145" s="32">
        <v>38307.0</v>
      </c>
      <c r="P145" s="6" t="s">
        <v>1820</v>
      </c>
      <c r="Q145" s="6" t="s">
        <v>1821</v>
      </c>
      <c r="R145" s="6" t="s">
        <v>135</v>
      </c>
      <c r="S145" s="6" t="s">
        <v>136</v>
      </c>
      <c r="T145" s="6">
        <v>143001.0</v>
      </c>
      <c r="U145" s="6" t="s">
        <v>169</v>
      </c>
      <c r="V145" s="6" t="s">
        <v>187</v>
      </c>
      <c r="W145" s="6" t="s">
        <v>141</v>
      </c>
      <c r="X145" s="6" t="s">
        <v>208</v>
      </c>
      <c r="Y145" s="6" t="s">
        <v>251</v>
      </c>
      <c r="Z145" s="28"/>
      <c r="AA145" s="22" t="s">
        <v>1566</v>
      </c>
      <c r="AB145" s="28"/>
      <c r="AC145" s="28"/>
      <c r="AD145" s="7"/>
      <c r="AE145" s="7"/>
      <c r="AF145" s="30" t="s">
        <v>1822</v>
      </c>
    </row>
    <row r="146">
      <c r="A146" s="15">
        <v>145.0</v>
      </c>
      <c r="B146" s="84" t="s">
        <v>1557</v>
      </c>
      <c r="C146" s="17" t="s">
        <v>116</v>
      </c>
      <c r="D146" s="6">
        <v>2.023010162171E12</v>
      </c>
      <c r="E146" s="6">
        <v>1.1242319168E10</v>
      </c>
      <c r="F146" s="6" t="s">
        <v>1440</v>
      </c>
      <c r="G146" s="6" t="s">
        <v>1823</v>
      </c>
      <c r="H146" s="6" t="s">
        <v>1341</v>
      </c>
      <c r="I146" s="6" t="s">
        <v>126</v>
      </c>
      <c r="J146" s="6" t="s">
        <v>1824</v>
      </c>
      <c r="K146" s="6">
        <v>123456.0</v>
      </c>
      <c r="L146" s="6">
        <v>9.781957584E9</v>
      </c>
      <c r="M146" s="6">
        <v>7.710752705E9</v>
      </c>
      <c r="N146" s="6">
        <v>9.781957584E9</v>
      </c>
      <c r="O146" s="6" t="s">
        <v>1825</v>
      </c>
      <c r="P146" s="6" t="s">
        <v>1826</v>
      </c>
      <c r="Q146" s="6" t="s">
        <v>1827</v>
      </c>
      <c r="R146" s="6" t="s">
        <v>1828</v>
      </c>
      <c r="S146" s="6" t="s">
        <v>136</v>
      </c>
      <c r="T146" s="6">
        <v>143606.0</v>
      </c>
      <c r="U146" s="6" t="s">
        <v>138</v>
      </c>
      <c r="V146" s="6" t="s">
        <v>187</v>
      </c>
      <c r="W146" s="6" t="s">
        <v>141</v>
      </c>
      <c r="X146" s="6" t="s">
        <v>208</v>
      </c>
      <c r="Y146" s="6" t="s">
        <v>144</v>
      </c>
      <c r="Z146" s="28"/>
      <c r="AA146" s="22" t="s">
        <v>1566</v>
      </c>
      <c r="AB146" s="28"/>
      <c r="AC146" s="28"/>
      <c r="AD146" s="7"/>
      <c r="AE146" s="7"/>
      <c r="AF146" s="7"/>
    </row>
    <row r="147">
      <c r="A147" s="15">
        <v>146.0</v>
      </c>
      <c r="B147" s="84" t="s">
        <v>1557</v>
      </c>
      <c r="C147" s="17" t="s">
        <v>116</v>
      </c>
      <c r="D147" s="6">
        <v>2.023010162183E12</v>
      </c>
      <c r="E147" s="6">
        <v>1.1242319169E10</v>
      </c>
      <c r="F147" s="6" t="s">
        <v>1829</v>
      </c>
      <c r="G147" s="6" t="s">
        <v>603</v>
      </c>
      <c r="H147" s="6" t="s">
        <v>1410</v>
      </c>
      <c r="I147" s="6" t="s">
        <v>126</v>
      </c>
      <c r="J147" s="6" t="s">
        <v>1830</v>
      </c>
      <c r="K147" s="6">
        <v>123456.0</v>
      </c>
      <c r="L147" s="6">
        <v>9.815312166E9</v>
      </c>
      <c r="M147" s="6">
        <v>8.264398919E9</v>
      </c>
      <c r="N147" s="6">
        <v>7.341189166E9</v>
      </c>
      <c r="O147" s="23">
        <v>38718.0</v>
      </c>
      <c r="P147" s="6" t="s">
        <v>1831</v>
      </c>
      <c r="Q147" s="6" t="s">
        <v>1832</v>
      </c>
      <c r="R147" s="6" t="s">
        <v>135</v>
      </c>
      <c r="S147" s="6" t="s">
        <v>136</v>
      </c>
      <c r="T147" s="6">
        <v>143149.0</v>
      </c>
      <c r="U147" s="6" t="s">
        <v>138</v>
      </c>
      <c r="V147" s="6" t="s">
        <v>187</v>
      </c>
      <c r="W147" s="6" t="s">
        <v>141</v>
      </c>
      <c r="X147" s="6" t="s">
        <v>208</v>
      </c>
      <c r="Y147" s="6" t="s">
        <v>144</v>
      </c>
      <c r="Z147" s="26" t="s">
        <v>80</v>
      </c>
      <c r="AA147" s="22" t="s">
        <v>1566</v>
      </c>
      <c r="AB147" s="28"/>
      <c r="AC147" s="28"/>
      <c r="AD147" s="7"/>
      <c r="AE147" s="7"/>
      <c r="AF147" s="30" t="s">
        <v>1833</v>
      </c>
    </row>
    <row r="148">
      <c r="A148" s="15">
        <v>147.0</v>
      </c>
      <c r="B148" s="84" t="s">
        <v>1557</v>
      </c>
      <c r="C148" s="17" t="s">
        <v>116</v>
      </c>
      <c r="D148" s="6">
        <v>2.023010162187E12</v>
      </c>
      <c r="E148" s="6">
        <v>1.124231917E10</v>
      </c>
      <c r="F148" s="6" t="s">
        <v>1834</v>
      </c>
      <c r="G148" s="6" t="s">
        <v>1835</v>
      </c>
      <c r="H148" s="6" t="s">
        <v>1836</v>
      </c>
      <c r="I148" s="6" t="s">
        <v>126</v>
      </c>
      <c r="J148" s="6" t="s">
        <v>1837</v>
      </c>
      <c r="K148" s="6">
        <v>123456.0</v>
      </c>
      <c r="L148" s="6">
        <v>7.986107761E9</v>
      </c>
      <c r="M148" s="6">
        <v>8.837545782E9</v>
      </c>
      <c r="N148" s="6">
        <v>7.986064747E9</v>
      </c>
      <c r="O148" s="23">
        <v>38476.0</v>
      </c>
      <c r="P148" s="6" t="s">
        <v>1838</v>
      </c>
      <c r="Q148" s="6" t="s">
        <v>1839</v>
      </c>
      <c r="R148" s="6" t="s">
        <v>1840</v>
      </c>
      <c r="S148" s="6" t="s">
        <v>136</v>
      </c>
      <c r="T148" s="6">
        <v>143521.0</v>
      </c>
      <c r="U148" s="6" t="s">
        <v>138</v>
      </c>
      <c r="V148" s="6" t="s">
        <v>187</v>
      </c>
      <c r="W148" s="6" t="s">
        <v>141</v>
      </c>
      <c r="X148" s="6" t="s">
        <v>208</v>
      </c>
      <c r="Y148" s="6" t="s">
        <v>251</v>
      </c>
      <c r="Z148" s="26" t="s">
        <v>80</v>
      </c>
      <c r="AA148" s="22" t="s">
        <v>1566</v>
      </c>
      <c r="AB148" s="28"/>
      <c r="AC148" s="28"/>
      <c r="AD148" s="7"/>
      <c r="AE148" s="7"/>
      <c r="AF148" s="30" t="s">
        <v>1841</v>
      </c>
    </row>
    <row r="149">
      <c r="A149" s="15">
        <v>148.0</v>
      </c>
      <c r="B149" s="84" t="s">
        <v>1557</v>
      </c>
      <c r="C149" s="17" t="s">
        <v>116</v>
      </c>
      <c r="D149" s="6">
        <v>2.023010162191E12</v>
      </c>
      <c r="E149" s="6">
        <v>1.1242319171E10</v>
      </c>
      <c r="F149" s="6" t="s">
        <v>1060</v>
      </c>
      <c r="G149" s="6" t="s">
        <v>1842</v>
      </c>
      <c r="H149" s="6" t="s">
        <v>555</v>
      </c>
      <c r="I149" s="6" t="s">
        <v>126</v>
      </c>
      <c r="J149" s="6" t="s">
        <v>1843</v>
      </c>
      <c r="K149" s="6">
        <v>123456.0</v>
      </c>
      <c r="L149" s="6">
        <v>6.280609342E9</v>
      </c>
      <c r="M149" s="6">
        <v>9.814560431E9</v>
      </c>
      <c r="N149" s="6">
        <v>9.814560431E9</v>
      </c>
      <c r="O149" s="23">
        <v>38781.0</v>
      </c>
      <c r="P149" s="6" t="s">
        <v>1844</v>
      </c>
      <c r="Q149" s="6" t="s">
        <v>1845</v>
      </c>
      <c r="R149" s="6" t="s">
        <v>437</v>
      </c>
      <c r="S149" s="6" t="s">
        <v>136</v>
      </c>
      <c r="T149" s="6">
        <v>143408.0</v>
      </c>
      <c r="U149" s="6" t="s">
        <v>138</v>
      </c>
      <c r="V149" s="6" t="s">
        <v>187</v>
      </c>
      <c r="W149" s="6" t="s">
        <v>141</v>
      </c>
      <c r="X149" s="6" t="s">
        <v>506</v>
      </c>
      <c r="Y149" s="6" t="s">
        <v>1627</v>
      </c>
      <c r="Z149" s="28"/>
      <c r="AA149" s="22" t="s">
        <v>1566</v>
      </c>
      <c r="AB149" s="28"/>
      <c r="AC149" s="28"/>
      <c r="AD149" s="7"/>
      <c r="AE149" s="7"/>
      <c r="AF149" s="7"/>
    </row>
    <row r="150">
      <c r="A150" s="15">
        <v>149.0</v>
      </c>
      <c r="B150" s="84" t="s">
        <v>1557</v>
      </c>
      <c r="C150" s="17" t="s">
        <v>116</v>
      </c>
      <c r="D150" s="6">
        <v>2.023010162229E12</v>
      </c>
      <c r="E150" s="6">
        <v>1.1242319173E10</v>
      </c>
      <c r="F150" s="6" t="s">
        <v>1846</v>
      </c>
      <c r="G150" s="6" t="s">
        <v>1847</v>
      </c>
      <c r="H150" s="6" t="s">
        <v>1848</v>
      </c>
      <c r="I150" s="6" t="s">
        <v>164</v>
      </c>
      <c r="J150" s="6" t="s">
        <v>1849</v>
      </c>
      <c r="K150" s="30" t="s">
        <v>291</v>
      </c>
      <c r="L150" s="6">
        <v>9.646383656E9</v>
      </c>
      <c r="M150" s="6">
        <v>8.054383656E9</v>
      </c>
      <c r="N150" s="6">
        <v>6.284372767E9</v>
      </c>
      <c r="O150" s="32">
        <v>38325.0</v>
      </c>
      <c r="P150" s="6" t="s">
        <v>1850</v>
      </c>
      <c r="Q150" s="6" t="s">
        <v>1851</v>
      </c>
      <c r="R150" s="6" t="s">
        <v>1259</v>
      </c>
      <c r="S150" s="6" t="s">
        <v>747</v>
      </c>
      <c r="T150" s="30" t="s">
        <v>186</v>
      </c>
      <c r="U150" s="6" t="s">
        <v>138</v>
      </c>
      <c r="V150" s="6" t="s">
        <v>66</v>
      </c>
      <c r="W150" s="6" t="s">
        <v>141</v>
      </c>
      <c r="X150" s="6" t="s">
        <v>250</v>
      </c>
      <c r="Y150" s="6" t="s">
        <v>251</v>
      </c>
      <c r="Z150" s="6" t="s">
        <v>80</v>
      </c>
      <c r="AA150" s="22" t="s">
        <v>1566</v>
      </c>
      <c r="AB150" s="7"/>
      <c r="AC150" s="7"/>
      <c r="AD150" s="7"/>
      <c r="AE150" s="7"/>
      <c r="AF150" s="30" t="s">
        <v>1852</v>
      </c>
    </row>
    <row r="151">
      <c r="A151" s="15">
        <v>150.0</v>
      </c>
      <c r="B151" s="84" t="s">
        <v>1557</v>
      </c>
      <c r="C151" s="17" t="s">
        <v>116</v>
      </c>
      <c r="D151" s="6">
        <v>2.023010162231E12</v>
      </c>
      <c r="E151" s="6">
        <v>1.1242319174E10</v>
      </c>
      <c r="F151" s="6" t="s">
        <v>909</v>
      </c>
      <c r="G151" s="6" t="s">
        <v>1375</v>
      </c>
      <c r="H151" s="6" t="s">
        <v>1853</v>
      </c>
      <c r="I151" s="6" t="s">
        <v>126</v>
      </c>
      <c r="J151" s="6" t="s">
        <v>1854</v>
      </c>
      <c r="K151" s="30" t="s">
        <v>291</v>
      </c>
      <c r="L151" s="6">
        <v>8.288865372E9</v>
      </c>
      <c r="M151" s="6">
        <v>6.28398133E9</v>
      </c>
      <c r="N151" s="6">
        <v>9.914813355E9</v>
      </c>
      <c r="O151" s="32">
        <v>38484.0</v>
      </c>
      <c r="P151" s="6" t="s">
        <v>1855</v>
      </c>
      <c r="Q151" s="6" t="s">
        <v>1856</v>
      </c>
      <c r="R151" s="6" t="s">
        <v>135</v>
      </c>
      <c r="S151" s="6" t="s">
        <v>136</v>
      </c>
      <c r="T151" s="30" t="s">
        <v>186</v>
      </c>
      <c r="U151" s="6" t="s">
        <v>169</v>
      </c>
      <c r="V151" s="6" t="s">
        <v>156</v>
      </c>
      <c r="W151" s="6" t="s">
        <v>141</v>
      </c>
      <c r="X151" s="6" t="s">
        <v>188</v>
      </c>
      <c r="Y151" s="6" t="s">
        <v>144</v>
      </c>
      <c r="Z151" s="7"/>
      <c r="AA151" s="22" t="s">
        <v>1566</v>
      </c>
      <c r="AB151" s="7"/>
      <c r="AC151" s="7"/>
      <c r="AD151" s="7"/>
      <c r="AE151" s="7"/>
      <c r="AF151" s="30" t="s">
        <v>1857</v>
      </c>
    </row>
    <row r="152">
      <c r="A152" s="15">
        <v>151.0</v>
      </c>
      <c r="B152" s="84" t="s">
        <v>1557</v>
      </c>
      <c r="C152" s="17" t="s">
        <v>116</v>
      </c>
      <c r="D152" s="6">
        <v>2.023010162241E12</v>
      </c>
      <c r="E152" s="6">
        <v>1.1242319175E10</v>
      </c>
      <c r="F152" s="6" t="s">
        <v>1858</v>
      </c>
      <c r="G152" s="6" t="s">
        <v>318</v>
      </c>
      <c r="H152" s="6" t="s">
        <v>180</v>
      </c>
      <c r="I152" s="6" t="s">
        <v>126</v>
      </c>
      <c r="J152" s="6" t="s">
        <v>1859</v>
      </c>
      <c r="K152" s="6">
        <v>123456.0</v>
      </c>
      <c r="L152" s="6">
        <v>6.239981369E9</v>
      </c>
      <c r="M152" s="6">
        <v>9.115309607E9</v>
      </c>
      <c r="N152" s="6">
        <v>7.719648282E9</v>
      </c>
      <c r="O152" s="23">
        <v>38445.0</v>
      </c>
      <c r="P152" s="6" t="s">
        <v>1860</v>
      </c>
      <c r="Q152" s="6" t="s">
        <v>1861</v>
      </c>
      <c r="R152" s="6" t="s">
        <v>135</v>
      </c>
      <c r="S152" s="6" t="s">
        <v>136</v>
      </c>
      <c r="T152" s="6">
        <v>143139.0</v>
      </c>
      <c r="U152" s="6" t="s">
        <v>138</v>
      </c>
      <c r="V152" s="6" t="s">
        <v>187</v>
      </c>
      <c r="W152" s="6" t="s">
        <v>141</v>
      </c>
      <c r="X152" s="6" t="s">
        <v>229</v>
      </c>
      <c r="Y152" s="6" t="s">
        <v>144</v>
      </c>
      <c r="Z152" s="26" t="s">
        <v>80</v>
      </c>
      <c r="AA152" s="22" t="s">
        <v>1566</v>
      </c>
      <c r="AB152" s="28"/>
      <c r="AC152" s="28"/>
      <c r="AD152" s="7"/>
      <c r="AE152" s="7"/>
      <c r="AF152" s="30" t="s">
        <v>1862</v>
      </c>
    </row>
    <row r="153">
      <c r="A153" s="15">
        <v>152.0</v>
      </c>
      <c r="B153" s="84" t="s">
        <v>1557</v>
      </c>
      <c r="C153" s="17" t="s">
        <v>116</v>
      </c>
      <c r="D153" s="6">
        <v>2.023010162245E12</v>
      </c>
      <c r="E153" s="6">
        <v>1.1242319176E10</v>
      </c>
      <c r="F153" s="6" t="s">
        <v>1863</v>
      </c>
      <c r="G153" s="6" t="s">
        <v>1260</v>
      </c>
      <c r="H153" s="6" t="s">
        <v>1864</v>
      </c>
      <c r="I153" s="6" t="s">
        <v>126</v>
      </c>
      <c r="J153" s="6" t="s">
        <v>1865</v>
      </c>
      <c r="K153" s="6">
        <v>123456.0</v>
      </c>
      <c r="L153" s="6">
        <v>8.544812243E9</v>
      </c>
      <c r="M153" s="6">
        <v>9.417347902E9</v>
      </c>
      <c r="N153" s="6">
        <v>9.501923824E9</v>
      </c>
      <c r="O153" s="32">
        <v>38915.0</v>
      </c>
      <c r="P153" s="6" t="s">
        <v>1866</v>
      </c>
      <c r="Q153" s="6" t="s">
        <v>1867</v>
      </c>
      <c r="R153" s="6" t="s">
        <v>1800</v>
      </c>
      <c r="S153" s="6" t="s">
        <v>136</v>
      </c>
      <c r="T153" s="6">
        <v>144601.0</v>
      </c>
      <c r="U153" s="6" t="s">
        <v>321</v>
      </c>
      <c r="V153" s="6" t="s">
        <v>187</v>
      </c>
      <c r="W153" s="6" t="s">
        <v>141</v>
      </c>
      <c r="X153" s="6" t="s">
        <v>208</v>
      </c>
      <c r="Y153" s="6" t="s">
        <v>144</v>
      </c>
      <c r="Z153" s="28"/>
      <c r="AA153" s="22" t="s">
        <v>1566</v>
      </c>
      <c r="AB153" s="28"/>
      <c r="AC153" s="28"/>
      <c r="AD153" s="7"/>
      <c r="AE153" s="7"/>
      <c r="AF153" s="30" t="s">
        <v>1868</v>
      </c>
    </row>
    <row r="154">
      <c r="A154" s="15">
        <v>153.0</v>
      </c>
      <c r="B154" s="84" t="s">
        <v>1557</v>
      </c>
      <c r="C154" s="17" t="s">
        <v>116</v>
      </c>
      <c r="D154" s="6">
        <v>2.023010162309E12</v>
      </c>
      <c r="E154" s="6">
        <v>1.1242319183E10</v>
      </c>
      <c r="F154" s="6" t="s">
        <v>1869</v>
      </c>
      <c r="G154" s="6" t="s">
        <v>1870</v>
      </c>
      <c r="H154" s="6" t="s">
        <v>1871</v>
      </c>
      <c r="I154" s="6" t="s">
        <v>126</v>
      </c>
      <c r="J154" s="6" t="s">
        <v>1872</v>
      </c>
      <c r="K154" s="6">
        <v>123456.0</v>
      </c>
      <c r="L154" s="6">
        <v>8.146431874E9</v>
      </c>
      <c r="M154" s="6">
        <v>9.780875585E9</v>
      </c>
      <c r="N154" s="6">
        <v>6.284345393E9</v>
      </c>
      <c r="O154" s="23">
        <v>37418.0</v>
      </c>
      <c r="P154" s="6" t="s">
        <v>1873</v>
      </c>
      <c r="Q154" s="6" t="s">
        <v>1874</v>
      </c>
      <c r="R154" s="6" t="s">
        <v>135</v>
      </c>
      <c r="S154" s="6" t="s">
        <v>136</v>
      </c>
      <c r="T154" s="6">
        <v>143001.0</v>
      </c>
      <c r="U154" s="6" t="s">
        <v>138</v>
      </c>
      <c r="V154" s="6" t="s">
        <v>187</v>
      </c>
      <c r="W154" s="6" t="s">
        <v>141</v>
      </c>
      <c r="X154" s="6" t="s">
        <v>208</v>
      </c>
      <c r="Y154" s="6" t="s">
        <v>144</v>
      </c>
      <c r="Z154" s="26" t="s">
        <v>80</v>
      </c>
      <c r="AA154" s="22" t="s">
        <v>1566</v>
      </c>
      <c r="AB154" s="28"/>
      <c r="AC154" s="28"/>
      <c r="AD154" s="7"/>
      <c r="AE154" s="7"/>
      <c r="AF154" s="30" t="s">
        <v>1875</v>
      </c>
    </row>
    <row r="155">
      <c r="A155" s="15">
        <v>154.0</v>
      </c>
      <c r="B155" s="84" t="s">
        <v>1557</v>
      </c>
      <c r="C155" s="17" t="s">
        <v>116</v>
      </c>
      <c r="D155" s="6">
        <v>2.023010162448E12</v>
      </c>
      <c r="E155" s="6">
        <v>1.1242319184E10</v>
      </c>
      <c r="F155" s="6" t="s">
        <v>1876</v>
      </c>
      <c r="G155" s="6" t="s">
        <v>1877</v>
      </c>
      <c r="H155" s="6" t="s">
        <v>1878</v>
      </c>
      <c r="I155" s="6" t="s">
        <v>164</v>
      </c>
      <c r="J155" s="6" t="s">
        <v>1879</v>
      </c>
      <c r="K155" s="30" t="s">
        <v>291</v>
      </c>
      <c r="L155" s="6">
        <v>9.815997195E9</v>
      </c>
      <c r="M155" s="6">
        <v>9.872021361E9</v>
      </c>
      <c r="N155" s="6">
        <v>9.87724271E9</v>
      </c>
      <c r="O155" s="32">
        <v>38486.0</v>
      </c>
      <c r="P155" s="6" t="s">
        <v>1880</v>
      </c>
      <c r="Q155" s="6" t="s">
        <v>1881</v>
      </c>
      <c r="R155" s="6" t="s">
        <v>1882</v>
      </c>
      <c r="S155" s="6" t="s">
        <v>296</v>
      </c>
      <c r="T155" s="30" t="s">
        <v>648</v>
      </c>
      <c r="U155" s="6" t="s">
        <v>138</v>
      </c>
      <c r="V155" s="6" t="s">
        <v>66</v>
      </c>
      <c r="W155" s="6" t="s">
        <v>141</v>
      </c>
      <c r="X155" s="6" t="s">
        <v>188</v>
      </c>
      <c r="Y155" s="6" t="s">
        <v>251</v>
      </c>
      <c r="Z155" s="6" t="s">
        <v>80</v>
      </c>
      <c r="AA155" s="22" t="s">
        <v>1566</v>
      </c>
      <c r="AB155" s="7"/>
      <c r="AC155" s="7"/>
      <c r="AD155" s="7"/>
      <c r="AE155" s="7"/>
      <c r="AF155" s="30" t="s">
        <v>1883</v>
      </c>
    </row>
    <row r="156">
      <c r="A156" s="15">
        <v>155.0</v>
      </c>
      <c r="B156" s="84" t="s">
        <v>1557</v>
      </c>
      <c r="C156" s="17" t="s">
        <v>116</v>
      </c>
      <c r="D156" s="6">
        <v>2.02301016252E12</v>
      </c>
      <c r="E156" s="6">
        <v>1.1242319186E10</v>
      </c>
      <c r="F156" s="6" t="s">
        <v>1884</v>
      </c>
      <c r="G156" s="6" t="s">
        <v>1885</v>
      </c>
      <c r="H156" s="6" t="s">
        <v>922</v>
      </c>
      <c r="I156" s="6" t="s">
        <v>164</v>
      </c>
      <c r="J156" s="6" t="s">
        <v>1886</v>
      </c>
      <c r="K156" s="6">
        <v>123456.0</v>
      </c>
      <c r="L156" s="6">
        <v>9.872425354E9</v>
      </c>
      <c r="M156" s="6">
        <v>9.417324235E9</v>
      </c>
      <c r="N156" s="6">
        <v>7.988462101E9</v>
      </c>
      <c r="O156" s="32">
        <v>38577.0</v>
      </c>
      <c r="P156" s="6" t="s">
        <v>1887</v>
      </c>
      <c r="Q156" s="6" t="s">
        <v>1888</v>
      </c>
      <c r="R156" s="6" t="s">
        <v>135</v>
      </c>
      <c r="S156" s="6" t="s">
        <v>136</v>
      </c>
      <c r="T156" s="6">
        <v>143001.0</v>
      </c>
      <c r="U156" s="6" t="s">
        <v>169</v>
      </c>
      <c r="V156" s="6" t="s">
        <v>140</v>
      </c>
      <c r="W156" s="6" t="s">
        <v>141</v>
      </c>
      <c r="X156" s="6" t="s">
        <v>143</v>
      </c>
      <c r="Y156" s="6" t="s">
        <v>251</v>
      </c>
      <c r="Z156" s="28"/>
      <c r="AA156" s="22" t="s">
        <v>1566</v>
      </c>
      <c r="AB156" s="28"/>
      <c r="AC156" s="28"/>
      <c r="AD156" s="7"/>
      <c r="AE156" s="7"/>
      <c r="AF156" s="30" t="s">
        <v>1889</v>
      </c>
    </row>
    <row r="157">
      <c r="A157" s="15">
        <v>156.0</v>
      </c>
      <c r="B157" s="84" t="s">
        <v>1557</v>
      </c>
      <c r="C157" s="17" t="s">
        <v>116</v>
      </c>
      <c r="D157" s="6">
        <v>2.02301016209E12</v>
      </c>
      <c r="E157" s="6">
        <v>1.1242319188E10</v>
      </c>
      <c r="F157" s="6" t="s">
        <v>1151</v>
      </c>
      <c r="G157" s="6" t="s">
        <v>711</v>
      </c>
      <c r="H157" s="6" t="s">
        <v>1067</v>
      </c>
      <c r="I157" s="6" t="s">
        <v>126</v>
      </c>
      <c r="J157" s="6" t="s">
        <v>1890</v>
      </c>
      <c r="K157" s="6">
        <v>123456.0</v>
      </c>
      <c r="L157" s="6">
        <v>9.878809445E9</v>
      </c>
      <c r="M157" s="6">
        <v>9.876422837E9</v>
      </c>
      <c r="N157" s="6">
        <v>9.50192484E9</v>
      </c>
      <c r="O157" s="23">
        <v>38210.0</v>
      </c>
      <c r="P157" s="6" t="s">
        <v>1891</v>
      </c>
      <c r="Q157" s="6" t="s">
        <v>1892</v>
      </c>
      <c r="R157" s="6" t="s">
        <v>716</v>
      </c>
      <c r="S157" s="6" t="s">
        <v>136</v>
      </c>
      <c r="T157" s="6">
        <v>143111.0</v>
      </c>
      <c r="U157" s="6" t="s">
        <v>138</v>
      </c>
      <c r="V157" s="6" t="s">
        <v>187</v>
      </c>
      <c r="W157" s="6" t="s">
        <v>141</v>
      </c>
      <c r="X157" s="6" t="s">
        <v>208</v>
      </c>
      <c r="Y157" s="6" t="s">
        <v>144</v>
      </c>
      <c r="Z157" s="26" t="s">
        <v>80</v>
      </c>
      <c r="AA157" s="22" t="s">
        <v>1566</v>
      </c>
      <c r="AB157" s="28"/>
      <c r="AC157" s="28"/>
      <c r="AD157" s="7"/>
      <c r="AE157" s="7"/>
      <c r="AF157" s="30" t="s">
        <v>1893</v>
      </c>
    </row>
    <row r="158">
      <c r="A158" s="15">
        <v>157.0</v>
      </c>
      <c r="B158" s="84" t="s">
        <v>1557</v>
      </c>
      <c r="C158" s="17" t="s">
        <v>116</v>
      </c>
      <c r="D158" s="6">
        <v>2.02301016212E12</v>
      </c>
      <c r="E158" s="6">
        <v>1.1242319191E10</v>
      </c>
      <c r="F158" s="6" t="s">
        <v>1894</v>
      </c>
      <c r="G158" s="6" t="s">
        <v>711</v>
      </c>
      <c r="H158" s="6" t="s">
        <v>301</v>
      </c>
      <c r="I158" s="6" t="s">
        <v>164</v>
      </c>
      <c r="J158" s="6" t="s">
        <v>1895</v>
      </c>
      <c r="K158" s="30" t="s">
        <v>291</v>
      </c>
      <c r="L158" s="6">
        <v>9.653394075E9</v>
      </c>
      <c r="M158" s="6">
        <v>9.417717965E9</v>
      </c>
      <c r="N158" s="6">
        <v>9.041137935E9</v>
      </c>
      <c r="O158" s="32">
        <v>37981.0</v>
      </c>
      <c r="P158" s="6" t="s">
        <v>1896</v>
      </c>
      <c r="Q158" s="6" t="s">
        <v>1897</v>
      </c>
      <c r="R158" s="6" t="s">
        <v>437</v>
      </c>
      <c r="S158" s="6" t="s">
        <v>136</v>
      </c>
      <c r="T158" s="30" t="s">
        <v>1898</v>
      </c>
      <c r="U158" s="6" t="s">
        <v>138</v>
      </c>
      <c r="V158" s="6" t="s">
        <v>66</v>
      </c>
      <c r="W158" s="6" t="s">
        <v>141</v>
      </c>
      <c r="X158" s="6" t="s">
        <v>188</v>
      </c>
      <c r="Y158" s="6" t="s">
        <v>144</v>
      </c>
      <c r="Z158" s="6" t="s">
        <v>80</v>
      </c>
      <c r="AA158" s="22" t="s">
        <v>1566</v>
      </c>
      <c r="AB158" s="7"/>
      <c r="AC158" s="7"/>
      <c r="AD158" s="7"/>
      <c r="AE158" s="7"/>
      <c r="AF158" s="30" t="s">
        <v>1899</v>
      </c>
    </row>
    <row r="159">
      <c r="A159" s="15">
        <v>158.0</v>
      </c>
      <c r="B159" s="84" t="s">
        <v>1557</v>
      </c>
      <c r="C159" s="17" t="s">
        <v>116</v>
      </c>
      <c r="D159" s="6">
        <v>2.023010162139E12</v>
      </c>
      <c r="E159" s="6">
        <v>1.1242319192E10</v>
      </c>
      <c r="F159" s="6" t="s">
        <v>306</v>
      </c>
      <c r="G159" s="6" t="s">
        <v>1900</v>
      </c>
      <c r="H159" s="6" t="s">
        <v>604</v>
      </c>
      <c r="I159" s="6" t="s">
        <v>126</v>
      </c>
      <c r="J159" s="6" t="s">
        <v>1901</v>
      </c>
      <c r="K159" s="6">
        <v>123456.0</v>
      </c>
      <c r="L159" s="6">
        <v>9.876162751E9</v>
      </c>
      <c r="M159" s="6">
        <v>9.915609284E9</v>
      </c>
      <c r="N159" s="6">
        <v>9.876162751E9</v>
      </c>
      <c r="O159" s="6" t="s">
        <v>1902</v>
      </c>
      <c r="P159" s="6" t="s">
        <v>1903</v>
      </c>
      <c r="Q159" s="6" t="s">
        <v>1904</v>
      </c>
      <c r="R159" s="6" t="s">
        <v>1905</v>
      </c>
      <c r="S159" s="6" t="s">
        <v>136</v>
      </c>
      <c r="T159" s="6">
        <v>143001.0</v>
      </c>
      <c r="U159" s="6" t="s">
        <v>169</v>
      </c>
      <c r="V159" s="6" t="s">
        <v>187</v>
      </c>
      <c r="W159" s="6" t="s">
        <v>141</v>
      </c>
      <c r="X159" s="6" t="s">
        <v>143</v>
      </c>
      <c r="Y159" s="6" t="s">
        <v>144</v>
      </c>
      <c r="Z159" s="28"/>
      <c r="AA159" s="22" t="s">
        <v>1566</v>
      </c>
      <c r="AB159" s="28"/>
      <c r="AC159" s="28"/>
      <c r="AD159" s="7"/>
      <c r="AE159" s="7"/>
      <c r="AF159" s="7"/>
    </row>
    <row r="160">
      <c r="A160" s="15">
        <v>159.0</v>
      </c>
      <c r="B160" s="84" t="s">
        <v>1557</v>
      </c>
      <c r="C160" s="17" t="s">
        <v>116</v>
      </c>
      <c r="D160" s="6">
        <v>2.023010162554E12</v>
      </c>
      <c r="E160" s="6">
        <v>1.1242319193E10</v>
      </c>
      <c r="F160" s="6" t="s">
        <v>1659</v>
      </c>
      <c r="G160" s="6" t="s">
        <v>1906</v>
      </c>
      <c r="H160" s="6" t="s">
        <v>1243</v>
      </c>
      <c r="I160" s="6" t="s">
        <v>126</v>
      </c>
      <c r="J160" s="6" t="s">
        <v>1907</v>
      </c>
      <c r="K160" s="6">
        <v>123456.0</v>
      </c>
      <c r="L160" s="6">
        <v>7.717544013E9</v>
      </c>
      <c r="M160" s="6">
        <v>9.815189091E9</v>
      </c>
      <c r="N160" s="6">
        <v>7.719743646E9</v>
      </c>
      <c r="O160" s="32">
        <v>38250.0</v>
      </c>
      <c r="P160" s="6" t="s">
        <v>1908</v>
      </c>
      <c r="Q160" s="6" t="s">
        <v>1909</v>
      </c>
      <c r="R160" s="6" t="s">
        <v>135</v>
      </c>
      <c r="S160" s="6" t="s">
        <v>136</v>
      </c>
      <c r="T160" s="6">
        <v>143001.0</v>
      </c>
      <c r="U160" s="6" t="s">
        <v>138</v>
      </c>
      <c r="V160" s="6" t="s">
        <v>187</v>
      </c>
      <c r="W160" s="6" t="s">
        <v>141</v>
      </c>
      <c r="X160" s="6" t="s">
        <v>506</v>
      </c>
      <c r="Y160" s="6" t="s">
        <v>144</v>
      </c>
      <c r="Z160" s="26" t="s">
        <v>80</v>
      </c>
      <c r="AA160" s="22" t="s">
        <v>1566</v>
      </c>
      <c r="AB160" s="28"/>
      <c r="AC160" s="28"/>
      <c r="AD160" s="7"/>
      <c r="AE160" s="7"/>
      <c r="AF160" s="30" t="s">
        <v>1910</v>
      </c>
    </row>
    <row r="161">
      <c r="A161" s="15">
        <v>160.0</v>
      </c>
      <c r="B161" s="84" t="s">
        <v>1557</v>
      </c>
      <c r="C161" s="17" t="s">
        <v>116</v>
      </c>
      <c r="D161" s="6">
        <v>2.023010162773E12</v>
      </c>
      <c r="E161" s="6">
        <v>1.12423192E10</v>
      </c>
      <c r="F161" s="6" t="s">
        <v>1911</v>
      </c>
      <c r="G161" s="6" t="s">
        <v>667</v>
      </c>
      <c r="H161" s="6" t="s">
        <v>1912</v>
      </c>
      <c r="I161" s="6" t="s">
        <v>164</v>
      </c>
      <c r="J161" s="6" t="s">
        <v>1913</v>
      </c>
      <c r="K161" s="30" t="s">
        <v>291</v>
      </c>
      <c r="L161" s="6">
        <v>8.556052457E9</v>
      </c>
      <c r="M161" s="6">
        <v>9.779252457E9</v>
      </c>
      <c r="N161" s="6">
        <v>9.779252457E9</v>
      </c>
      <c r="O161" s="32">
        <v>38930.0</v>
      </c>
      <c r="P161" s="6" t="s">
        <v>1914</v>
      </c>
      <c r="Q161" s="6" t="s">
        <v>1915</v>
      </c>
      <c r="R161" s="6" t="s">
        <v>135</v>
      </c>
      <c r="S161" s="6" t="s">
        <v>136</v>
      </c>
      <c r="T161" s="30" t="s">
        <v>1916</v>
      </c>
      <c r="U161" s="6" t="s">
        <v>138</v>
      </c>
      <c r="V161" s="6" t="s">
        <v>66</v>
      </c>
      <c r="W161" s="6" t="s">
        <v>141</v>
      </c>
      <c r="X161" s="6" t="s">
        <v>718</v>
      </c>
      <c r="Y161" s="6" t="s">
        <v>144</v>
      </c>
      <c r="Z161" s="6" t="s">
        <v>80</v>
      </c>
      <c r="AA161" s="22" t="s">
        <v>1566</v>
      </c>
      <c r="AB161" s="7"/>
      <c r="AC161" s="7"/>
      <c r="AD161" s="7"/>
      <c r="AE161" s="7"/>
      <c r="AF161" s="30" t="s">
        <v>1917</v>
      </c>
    </row>
    <row r="162">
      <c r="A162" s="15">
        <v>161.0</v>
      </c>
      <c r="B162" s="84" t="s">
        <v>1557</v>
      </c>
      <c r="C162" s="17" t="s">
        <v>116</v>
      </c>
      <c r="D162" s="6">
        <v>2.023010163756E12</v>
      </c>
      <c r="E162" s="6">
        <v>1.1242319205E10</v>
      </c>
      <c r="F162" s="6" t="s">
        <v>1918</v>
      </c>
      <c r="G162" s="6" t="s">
        <v>1919</v>
      </c>
      <c r="H162" s="6" t="s">
        <v>1920</v>
      </c>
      <c r="I162" s="6" t="s">
        <v>126</v>
      </c>
      <c r="J162" s="6" t="s">
        <v>1921</v>
      </c>
      <c r="K162" s="6">
        <v>123456.0</v>
      </c>
      <c r="L162" s="6">
        <v>9.878518813E9</v>
      </c>
      <c r="M162" s="6">
        <v>7.657835237E9</v>
      </c>
      <c r="N162" s="6">
        <v>8.264345237E9</v>
      </c>
      <c r="O162" s="23">
        <v>38481.0</v>
      </c>
      <c r="P162" s="6" t="s">
        <v>1922</v>
      </c>
      <c r="Q162" s="6" t="s">
        <v>1923</v>
      </c>
      <c r="R162" s="6" t="s">
        <v>437</v>
      </c>
      <c r="S162" s="6" t="s">
        <v>136</v>
      </c>
      <c r="T162" s="6">
        <v>143408.0</v>
      </c>
      <c r="U162" s="6" t="s">
        <v>138</v>
      </c>
      <c r="V162" s="6" t="s">
        <v>187</v>
      </c>
      <c r="W162" s="6" t="s">
        <v>141</v>
      </c>
      <c r="X162" s="6" t="s">
        <v>229</v>
      </c>
      <c r="Y162" s="6" t="s">
        <v>1627</v>
      </c>
      <c r="Z162" s="28"/>
      <c r="AA162" s="22" t="s">
        <v>1566</v>
      </c>
      <c r="AB162" s="28"/>
      <c r="AC162" s="28"/>
      <c r="AD162" s="7"/>
      <c r="AE162" s="7"/>
      <c r="AF162" s="7"/>
    </row>
    <row r="163">
      <c r="A163" s="15">
        <v>162.0</v>
      </c>
      <c r="B163" s="84" t="s">
        <v>1557</v>
      </c>
      <c r="C163" s="17" t="s">
        <v>116</v>
      </c>
      <c r="D163" s="6">
        <v>2.023010165241E12</v>
      </c>
      <c r="E163" s="6">
        <v>1.1242319206E10</v>
      </c>
      <c r="F163" s="6" t="s">
        <v>259</v>
      </c>
      <c r="G163" s="6" t="s">
        <v>1066</v>
      </c>
      <c r="H163" s="6" t="s">
        <v>1924</v>
      </c>
      <c r="I163" s="6" t="s">
        <v>126</v>
      </c>
      <c r="J163" s="6" t="s">
        <v>1925</v>
      </c>
      <c r="K163" s="6">
        <v>123456.0</v>
      </c>
      <c r="L163" s="6">
        <v>9.872730689E9</v>
      </c>
      <c r="M163" s="6">
        <v>9.872160134E9</v>
      </c>
      <c r="N163" s="6">
        <v>7.710179224E9</v>
      </c>
      <c r="O163" s="23">
        <v>39057.0</v>
      </c>
      <c r="P163" s="6" t="s">
        <v>1926</v>
      </c>
      <c r="Q163" s="6" t="s">
        <v>1927</v>
      </c>
      <c r="R163" s="6" t="s">
        <v>437</v>
      </c>
      <c r="S163" s="6" t="s">
        <v>136</v>
      </c>
      <c r="T163" s="6">
        <v>143407.0</v>
      </c>
      <c r="U163" s="6" t="s">
        <v>138</v>
      </c>
      <c r="V163" s="6" t="s">
        <v>187</v>
      </c>
      <c r="W163" s="6" t="s">
        <v>141</v>
      </c>
      <c r="X163" s="6" t="s">
        <v>229</v>
      </c>
      <c r="Y163" s="6" t="s">
        <v>144</v>
      </c>
      <c r="Z163" s="28"/>
      <c r="AA163" s="22" t="s">
        <v>1566</v>
      </c>
      <c r="AB163" s="28"/>
      <c r="AC163" s="28"/>
      <c r="AD163" s="7"/>
      <c r="AE163" s="7"/>
      <c r="AF163" s="7"/>
    </row>
    <row r="164">
      <c r="A164" s="15">
        <v>163.0</v>
      </c>
      <c r="B164" s="84" t="s">
        <v>1557</v>
      </c>
      <c r="C164" s="17" t="s">
        <v>116</v>
      </c>
      <c r="D164" s="6">
        <v>2.023010166002E12</v>
      </c>
      <c r="E164" s="6">
        <v>1.1242319207E10</v>
      </c>
      <c r="F164" s="6" t="s">
        <v>1928</v>
      </c>
      <c r="G164" s="6" t="s">
        <v>218</v>
      </c>
      <c r="H164" s="6" t="s">
        <v>604</v>
      </c>
      <c r="I164" s="6" t="s">
        <v>126</v>
      </c>
      <c r="J164" s="6" t="s">
        <v>1929</v>
      </c>
      <c r="K164" s="30" t="s">
        <v>291</v>
      </c>
      <c r="L164" s="6">
        <v>8.837713256E9</v>
      </c>
      <c r="M164" s="6">
        <v>9.914645012E9</v>
      </c>
      <c r="N164" s="6">
        <v>9.814292921E9</v>
      </c>
      <c r="O164" s="32">
        <v>38482.0</v>
      </c>
      <c r="P164" s="6" t="s">
        <v>1930</v>
      </c>
      <c r="Q164" s="6" t="s">
        <v>1931</v>
      </c>
      <c r="R164" s="6" t="s">
        <v>646</v>
      </c>
      <c r="S164" s="6" t="s">
        <v>136</v>
      </c>
      <c r="T164" s="30" t="s">
        <v>648</v>
      </c>
      <c r="U164" s="6" t="s">
        <v>169</v>
      </c>
      <c r="V164" s="6" t="s">
        <v>156</v>
      </c>
      <c r="W164" s="6" t="s">
        <v>141</v>
      </c>
      <c r="X164" s="6" t="s">
        <v>718</v>
      </c>
      <c r="Y164" s="6" t="s">
        <v>144</v>
      </c>
      <c r="Z164" s="7"/>
      <c r="AA164" s="22" t="s">
        <v>1566</v>
      </c>
      <c r="AB164" s="7"/>
      <c r="AC164" s="7"/>
      <c r="AD164" s="7"/>
      <c r="AE164" s="7"/>
      <c r="AF164" s="30" t="s">
        <v>1932</v>
      </c>
    </row>
    <row r="165">
      <c r="A165" s="15">
        <v>164.0</v>
      </c>
      <c r="B165" s="84" t="s">
        <v>1557</v>
      </c>
      <c r="C165" s="17" t="s">
        <v>116</v>
      </c>
      <c r="D165" s="6">
        <v>2.023010166045E12</v>
      </c>
      <c r="E165" s="6">
        <v>1.1242319208E10</v>
      </c>
      <c r="F165" s="6" t="s">
        <v>1576</v>
      </c>
      <c r="G165" s="6" t="s">
        <v>910</v>
      </c>
      <c r="H165" s="6" t="s">
        <v>1933</v>
      </c>
      <c r="I165" s="6" t="s">
        <v>126</v>
      </c>
      <c r="J165" s="6" t="s">
        <v>1934</v>
      </c>
      <c r="K165" s="6">
        <v>123456.0</v>
      </c>
      <c r="L165" s="6">
        <v>9.876119095E9</v>
      </c>
      <c r="M165" s="6">
        <v>9.592149013E9</v>
      </c>
      <c r="N165" s="6">
        <v>9.876163665E9</v>
      </c>
      <c r="O165" s="32">
        <v>38496.0</v>
      </c>
      <c r="P165" s="6" t="s">
        <v>1935</v>
      </c>
      <c r="Q165" s="6" t="s">
        <v>1936</v>
      </c>
      <c r="R165" s="6" t="s">
        <v>609</v>
      </c>
      <c r="S165" s="6" t="s">
        <v>136</v>
      </c>
      <c r="T165" s="6">
        <v>143515.0</v>
      </c>
      <c r="U165" s="6" t="s">
        <v>138</v>
      </c>
      <c r="V165" s="6" t="s">
        <v>187</v>
      </c>
      <c r="W165" s="6" t="s">
        <v>141</v>
      </c>
      <c r="X165" s="6" t="s">
        <v>208</v>
      </c>
      <c r="Y165" s="6" t="s">
        <v>144</v>
      </c>
      <c r="Z165" s="28"/>
      <c r="AA165" s="22" t="s">
        <v>1566</v>
      </c>
      <c r="AB165" s="28"/>
      <c r="AC165" s="28"/>
      <c r="AD165" s="7"/>
      <c r="AE165" s="7"/>
      <c r="AF165" s="30" t="s">
        <v>1937</v>
      </c>
    </row>
    <row r="166">
      <c r="A166" s="15">
        <v>165.0</v>
      </c>
      <c r="B166" s="84" t="s">
        <v>1557</v>
      </c>
      <c r="C166" s="17" t="s">
        <v>116</v>
      </c>
      <c r="D166" s="6">
        <v>2.023010166053E12</v>
      </c>
      <c r="E166" s="6">
        <v>1.1242319209E10</v>
      </c>
      <c r="F166" s="6" t="s">
        <v>1938</v>
      </c>
      <c r="G166" s="6" t="s">
        <v>1939</v>
      </c>
      <c r="H166" s="6" t="s">
        <v>1940</v>
      </c>
      <c r="I166" s="6" t="s">
        <v>164</v>
      </c>
      <c r="J166" s="6" t="s">
        <v>1941</v>
      </c>
      <c r="K166" s="6">
        <v>123456.0</v>
      </c>
      <c r="L166" s="6">
        <v>9.592002247E9</v>
      </c>
      <c r="M166" s="6">
        <v>9.464891557E9</v>
      </c>
      <c r="N166" s="6">
        <v>9.464891557E9</v>
      </c>
      <c r="O166" s="23">
        <v>38082.0</v>
      </c>
      <c r="P166" s="6" t="s">
        <v>1942</v>
      </c>
      <c r="Q166" s="6" t="s">
        <v>1943</v>
      </c>
      <c r="R166" s="6" t="s">
        <v>135</v>
      </c>
      <c r="S166" s="6" t="s">
        <v>136</v>
      </c>
      <c r="T166" s="6">
        <v>143502.0</v>
      </c>
      <c r="U166" s="6" t="s">
        <v>138</v>
      </c>
      <c r="V166" s="6" t="s">
        <v>1944</v>
      </c>
      <c r="W166" s="6" t="s">
        <v>141</v>
      </c>
      <c r="X166" s="6" t="s">
        <v>229</v>
      </c>
      <c r="Y166" s="6" t="s">
        <v>251</v>
      </c>
      <c r="Z166" s="26" t="s">
        <v>80</v>
      </c>
      <c r="AA166" s="22" t="s">
        <v>1566</v>
      </c>
      <c r="AB166" s="28"/>
      <c r="AC166" s="28"/>
      <c r="AD166" s="7"/>
      <c r="AE166" s="7"/>
      <c r="AF166" s="30" t="s">
        <v>1945</v>
      </c>
    </row>
    <row r="167">
      <c r="A167" s="15">
        <v>166.0</v>
      </c>
      <c r="B167" s="84" t="s">
        <v>1557</v>
      </c>
      <c r="C167" s="17" t="s">
        <v>116</v>
      </c>
      <c r="D167" s="6">
        <v>2.023010167257E12</v>
      </c>
      <c r="E167" s="6">
        <v>1.124231921E10</v>
      </c>
      <c r="F167" s="6" t="s">
        <v>1946</v>
      </c>
      <c r="G167" s="6" t="s">
        <v>1947</v>
      </c>
      <c r="H167" s="6" t="s">
        <v>1948</v>
      </c>
      <c r="I167" s="6" t="s">
        <v>126</v>
      </c>
      <c r="J167" s="6" t="s">
        <v>1949</v>
      </c>
      <c r="K167" s="30" t="s">
        <v>291</v>
      </c>
      <c r="L167" s="6">
        <v>9.15536148E8</v>
      </c>
      <c r="M167" s="6">
        <v>9.15606531E8</v>
      </c>
      <c r="N167" s="6">
        <v>6.96021532E8</v>
      </c>
      <c r="O167" s="32">
        <v>38661.0</v>
      </c>
      <c r="P167" s="6" t="s">
        <v>1950</v>
      </c>
      <c r="Q167" s="6" t="s">
        <v>1951</v>
      </c>
      <c r="R167" s="6" t="s">
        <v>135</v>
      </c>
      <c r="S167" s="6" t="s">
        <v>136</v>
      </c>
      <c r="T167" s="30" t="s">
        <v>186</v>
      </c>
      <c r="U167" s="6" t="s">
        <v>169</v>
      </c>
      <c r="V167" s="6" t="s">
        <v>156</v>
      </c>
      <c r="W167" s="6" t="s">
        <v>141</v>
      </c>
      <c r="X167" s="6" t="s">
        <v>718</v>
      </c>
      <c r="Y167" s="6" t="s">
        <v>251</v>
      </c>
      <c r="Z167" s="7"/>
      <c r="AA167" s="22" t="s">
        <v>1566</v>
      </c>
      <c r="AB167" s="7"/>
      <c r="AC167" s="7"/>
      <c r="AD167" s="7"/>
      <c r="AE167" s="7"/>
      <c r="AF167" s="30" t="s">
        <v>1952</v>
      </c>
    </row>
    <row r="168">
      <c r="A168" s="15">
        <v>167.0</v>
      </c>
      <c r="B168" s="84" t="s">
        <v>1557</v>
      </c>
      <c r="C168" s="17" t="s">
        <v>116</v>
      </c>
      <c r="D168" s="6">
        <v>2.023010168441E12</v>
      </c>
      <c r="E168" s="6">
        <v>1.1242319211E10</v>
      </c>
      <c r="F168" s="6" t="s">
        <v>488</v>
      </c>
      <c r="G168" s="6" t="s">
        <v>675</v>
      </c>
      <c r="H168" s="6" t="s">
        <v>1953</v>
      </c>
      <c r="I168" s="6" t="s">
        <v>126</v>
      </c>
      <c r="J168" s="6" t="s">
        <v>1954</v>
      </c>
      <c r="K168" s="6">
        <v>123456.0</v>
      </c>
      <c r="L168" s="6">
        <v>9.91576713E9</v>
      </c>
      <c r="M168" s="6">
        <v>9.91576713E9</v>
      </c>
      <c r="N168" s="6">
        <v>9.91576713E9</v>
      </c>
      <c r="O168" s="23">
        <v>38422.0</v>
      </c>
      <c r="P168" s="6" t="s">
        <v>1955</v>
      </c>
      <c r="Q168" s="6" t="s">
        <v>1956</v>
      </c>
      <c r="R168" s="6" t="s">
        <v>716</v>
      </c>
      <c r="S168" s="6" t="s">
        <v>136</v>
      </c>
      <c r="T168" s="6">
        <v>143118.0</v>
      </c>
      <c r="U168" s="6" t="s">
        <v>138</v>
      </c>
      <c r="V168" s="6" t="s">
        <v>187</v>
      </c>
      <c r="W168" s="6" t="s">
        <v>141</v>
      </c>
      <c r="X168" s="6" t="s">
        <v>229</v>
      </c>
      <c r="Y168" s="6" t="s">
        <v>144</v>
      </c>
      <c r="Z168" s="26" t="s">
        <v>80</v>
      </c>
      <c r="AA168" s="22" t="s">
        <v>1566</v>
      </c>
      <c r="AB168" s="28"/>
      <c r="AC168" s="28"/>
      <c r="AD168" s="7"/>
      <c r="AE168" s="7"/>
      <c r="AF168" s="30" t="s">
        <v>1957</v>
      </c>
    </row>
    <row r="169">
      <c r="A169" s="15">
        <v>168.0</v>
      </c>
      <c r="B169" s="84" t="s">
        <v>1557</v>
      </c>
      <c r="C169" s="17" t="s">
        <v>116</v>
      </c>
      <c r="D169" s="6">
        <v>2.023010160823E12</v>
      </c>
      <c r="E169" s="6">
        <v>1.1242319212E10</v>
      </c>
      <c r="F169" s="6" t="s">
        <v>1958</v>
      </c>
      <c r="G169" s="6" t="s">
        <v>1959</v>
      </c>
      <c r="H169" s="6" t="s">
        <v>1960</v>
      </c>
      <c r="I169" s="6" t="s">
        <v>126</v>
      </c>
      <c r="J169" s="6" t="s">
        <v>1961</v>
      </c>
      <c r="K169" s="30" t="s">
        <v>291</v>
      </c>
      <c r="L169" s="6">
        <v>7.719449794E9</v>
      </c>
      <c r="M169" s="6">
        <v>7.973610919E9</v>
      </c>
      <c r="N169" s="6">
        <v>9.780426306E9</v>
      </c>
      <c r="O169" s="32">
        <v>38468.0</v>
      </c>
      <c r="P169" s="6" t="s">
        <v>1962</v>
      </c>
      <c r="Q169" s="6" t="s">
        <v>1963</v>
      </c>
      <c r="R169" s="6" t="s">
        <v>246</v>
      </c>
      <c r="S169" s="6" t="s">
        <v>136</v>
      </c>
      <c r="T169" s="30" t="s">
        <v>1964</v>
      </c>
      <c r="U169" s="6" t="s">
        <v>321</v>
      </c>
      <c r="V169" s="6" t="s">
        <v>156</v>
      </c>
      <c r="W169" s="6" t="s">
        <v>141</v>
      </c>
      <c r="X169" s="6" t="s">
        <v>1599</v>
      </c>
      <c r="Y169" s="6" t="s">
        <v>251</v>
      </c>
      <c r="Z169" s="7"/>
      <c r="AA169" s="22" t="s">
        <v>1566</v>
      </c>
      <c r="AB169" s="7"/>
      <c r="AC169" s="7"/>
      <c r="AD169" s="7"/>
      <c r="AE169" s="7"/>
      <c r="AF169" s="30" t="s">
        <v>1965</v>
      </c>
    </row>
    <row r="170">
      <c r="A170" s="15">
        <v>169.0</v>
      </c>
      <c r="B170" s="84" t="s">
        <v>1557</v>
      </c>
      <c r="C170" s="17" t="s">
        <v>116</v>
      </c>
      <c r="D170" s="6">
        <v>2.023010160849E12</v>
      </c>
      <c r="E170" s="6">
        <v>1.1242319215E10</v>
      </c>
      <c r="F170" s="6" t="s">
        <v>1966</v>
      </c>
      <c r="G170" s="6" t="s">
        <v>886</v>
      </c>
      <c r="H170" s="6" t="s">
        <v>1967</v>
      </c>
      <c r="I170" s="6" t="s">
        <v>164</v>
      </c>
      <c r="J170" s="6" t="s">
        <v>1968</v>
      </c>
      <c r="K170" s="30" t="s">
        <v>291</v>
      </c>
      <c r="L170" s="6">
        <v>9.906397407E9</v>
      </c>
      <c r="M170" s="6">
        <v>7.889947318E9</v>
      </c>
      <c r="N170" s="6">
        <v>9.682188158E9</v>
      </c>
      <c r="O170" s="32">
        <v>38800.0</v>
      </c>
      <c r="P170" s="6" t="s">
        <v>1969</v>
      </c>
      <c r="Q170" s="6" t="s">
        <v>1970</v>
      </c>
      <c r="R170" s="6" t="s">
        <v>1971</v>
      </c>
      <c r="S170" s="6" t="s">
        <v>1972</v>
      </c>
      <c r="T170" s="30" t="s">
        <v>1973</v>
      </c>
      <c r="U170" s="6" t="s">
        <v>169</v>
      </c>
      <c r="V170" s="6" t="s">
        <v>66</v>
      </c>
      <c r="W170" s="6" t="s">
        <v>141</v>
      </c>
      <c r="X170" s="6" t="s">
        <v>718</v>
      </c>
      <c r="Y170" s="6" t="s">
        <v>251</v>
      </c>
      <c r="Z170" s="7"/>
      <c r="AA170" s="22" t="s">
        <v>1566</v>
      </c>
      <c r="AB170" s="7"/>
      <c r="AC170" s="7"/>
      <c r="AD170" s="7"/>
      <c r="AE170" s="7"/>
      <c r="AF170" s="30" t="s">
        <v>1974</v>
      </c>
    </row>
    <row r="171">
      <c r="A171" s="15">
        <v>170.0</v>
      </c>
      <c r="B171" s="84" t="s">
        <v>1557</v>
      </c>
      <c r="C171" s="17" t="s">
        <v>116</v>
      </c>
      <c r="D171" s="6">
        <v>2.023010168555E12</v>
      </c>
      <c r="E171" s="6">
        <v>1.1242319216E10</v>
      </c>
      <c r="F171" s="6" t="s">
        <v>1975</v>
      </c>
      <c r="G171" s="6" t="s">
        <v>1976</v>
      </c>
      <c r="H171" s="6" t="s">
        <v>1977</v>
      </c>
      <c r="I171" s="6" t="s">
        <v>126</v>
      </c>
      <c r="J171" s="6" t="s">
        <v>1978</v>
      </c>
      <c r="K171" s="6">
        <v>123456.0</v>
      </c>
      <c r="L171" s="6">
        <v>9.858230822E9</v>
      </c>
      <c r="M171" s="6">
        <v>9.622309347E9</v>
      </c>
      <c r="N171" s="6">
        <v>7.051780324E9</v>
      </c>
      <c r="O171" s="23">
        <v>38353.0</v>
      </c>
      <c r="P171" s="6" t="s">
        <v>1979</v>
      </c>
      <c r="Q171" s="6" t="s">
        <v>1980</v>
      </c>
      <c r="R171" s="6" t="s">
        <v>1981</v>
      </c>
      <c r="S171" s="6" t="s">
        <v>1455</v>
      </c>
      <c r="T171" s="6">
        <v>182205.0</v>
      </c>
      <c r="U171" s="6" t="s">
        <v>169</v>
      </c>
      <c r="V171" s="6" t="s">
        <v>187</v>
      </c>
      <c r="W171" s="6" t="s">
        <v>141</v>
      </c>
      <c r="X171" s="6" t="s">
        <v>1982</v>
      </c>
      <c r="Y171" s="6" t="s">
        <v>1983</v>
      </c>
      <c r="Z171" s="28"/>
      <c r="AA171" s="22" t="s">
        <v>1566</v>
      </c>
      <c r="AB171" s="28"/>
      <c r="AC171" s="28"/>
      <c r="AD171" s="7"/>
      <c r="AE171" s="7"/>
      <c r="AF171" s="30" t="s">
        <v>1984</v>
      </c>
    </row>
    <row r="172">
      <c r="A172" s="15">
        <v>171.0</v>
      </c>
      <c r="B172" s="84" t="s">
        <v>1557</v>
      </c>
      <c r="C172" s="17" t="s">
        <v>116</v>
      </c>
      <c r="D172" s="6">
        <v>2.023010162844E12</v>
      </c>
      <c r="E172" s="6">
        <v>1.1242319217E10</v>
      </c>
      <c r="F172" s="6" t="s">
        <v>1985</v>
      </c>
      <c r="G172" s="6" t="s">
        <v>1216</v>
      </c>
      <c r="H172" s="6" t="s">
        <v>1986</v>
      </c>
      <c r="I172" s="6" t="s">
        <v>164</v>
      </c>
      <c r="J172" s="6" t="s">
        <v>1987</v>
      </c>
      <c r="K172" s="30" t="s">
        <v>291</v>
      </c>
      <c r="L172" s="6">
        <v>9.103006796E9</v>
      </c>
      <c r="M172" s="6">
        <v>9.46960379E9</v>
      </c>
      <c r="N172" s="6">
        <v>7.051171933E9</v>
      </c>
      <c r="O172" s="32">
        <v>38328.0</v>
      </c>
      <c r="P172" s="6" t="s">
        <v>1988</v>
      </c>
      <c r="Q172" s="6" t="s">
        <v>1989</v>
      </c>
      <c r="R172" s="6" t="s">
        <v>1971</v>
      </c>
      <c r="S172" s="6" t="s">
        <v>1972</v>
      </c>
      <c r="T172" s="30" t="s">
        <v>1990</v>
      </c>
      <c r="U172" s="6" t="s">
        <v>169</v>
      </c>
      <c r="V172" s="6" t="s">
        <v>66</v>
      </c>
      <c r="W172" s="6" t="s">
        <v>141</v>
      </c>
      <c r="X172" s="6" t="s">
        <v>718</v>
      </c>
      <c r="Y172" s="6" t="s">
        <v>251</v>
      </c>
      <c r="Z172" s="7"/>
      <c r="AA172" s="22" t="s">
        <v>1566</v>
      </c>
      <c r="AB172" s="7"/>
      <c r="AC172" s="7"/>
      <c r="AD172" s="7"/>
      <c r="AE172" s="7"/>
      <c r="AF172" s="30" t="s">
        <v>1991</v>
      </c>
    </row>
    <row r="173">
      <c r="A173" s="15">
        <v>172.0</v>
      </c>
      <c r="B173" s="84" t="s">
        <v>1557</v>
      </c>
      <c r="C173" s="17" t="s">
        <v>116</v>
      </c>
      <c r="D173" s="6">
        <v>2.023010162865E12</v>
      </c>
      <c r="E173" s="6">
        <v>1.1242319218E10</v>
      </c>
      <c r="F173" s="6" t="s">
        <v>1992</v>
      </c>
      <c r="G173" s="6" t="s">
        <v>1993</v>
      </c>
      <c r="H173" s="6" t="s">
        <v>1994</v>
      </c>
      <c r="I173" s="6" t="s">
        <v>126</v>
      </c>
      <c r="J173" s="6" t="s">
        <v>1995</v>
      </c>
      <c r="K173" s="6">
        <v>123456.0</v>
      </c>
      <c r="L173" s="6">
        <v>8.491934062E9</v>
      </c>
      <c r="M173" s="6">
        <v>7.889761543E9</v>
      </c>
      <c r="N173" s="6">
        <v>7.006863321E9</v>
      </c>
      <c r="O173" s="23">
        <v>38607.0</v>
      </c>
      <c r="P173" s="6" t="s">
        <v>1996</v>
      </c>
      <c r="Q173" s="6" t="s">
        <v>1997</v>
      </c>
      <c r="R173" s="6" t="s">
        <v>1454</v>
      </c>
      <c r="S173" s="6" t="s">
        <v>1455</v>
      </c>
      <c r="T173" s="6">
        <v>182122.0</v>
      </c>
      <c r="U173" s="6" t="s">
        <v>169</v>
      </c>
      <c r="V173" s="6" t="s">
        <v>187</v>
      </c>
      <c r="W173" s="6" t="s">
        <v>141</v>
      </c>
      <c r="X173" s="6" t="s">
        <v>143</v>
      </c>
      <c r="Y173" s="6" t="s">
        <v>251</v>
      </c>
      <c r="Z173" s="28"/>
      <c r="AA173" s="22" t="s">
        <v>1566</v>
      </c>
      <c r="AB173" s="28"/>
      <c r="AC173" s="28"/>
      <c r="AD173" s="7"/>
      <c r="AE173" s="7"/>
      <c r="AF173" s="30" t="s">
        <v>1998</v>
      </c>
    </row>
    <row r="174">
      <c r="A174" s="15">
        <v>173.0</v>
      </c>
      <c r="B174" s="84" t="s">
        <v>1557</v>
      </c>
      <c r="C174" s="17" t="s">
        <v>116</v>
      </c>
      <c r="D174" s="6">
        <v>2.023010162879E12</v>
      </c>
      <c r="E174" s="6">
        <v>1.1242319219E10</v>
      </c>
      <c r="F174" s="6" t="s">
        <v>1999</v>
      </c>
      <c r="G174" s="6" t="s">
        <v>2000</v>
      </c>
      <c r="H174" s="6" t="s">
        <v>2001</v>
      </c>
      <c r="I174" s="6" t="s">
        <v>126</v>
      </c>
      <c r="J174" s="6" t="s">
        <v>2002</v>
      </c>
      <c r="K174" s="6">
        <v>123456.0</v>
      </c>
      <c r="L174" s="6">
        <v>6.00512322E9</v>
      </c>
      <c r="M174" s="6">
        <v>8.082371322E9</v>
      </c>
      <c r="N174" s="6">
        <v>9.103534287E9</v>
      </c>
      <c r="O174" s="32">
        <v>38405.0</v>
      </c>
      <c r="P174" s="6" t="s">
        <v>2003</v>
      </c>
      <c r="Q174" s="6" t="s">
        <v>2004</v>
      </c>
      <c r="R174" s="6" t="s">
        <v>1537</v>
      </c>
      <c r="S174" s="6" t="s">
        <v>1455</v>
      </c>
      <c r="T174" s="6">
        <v>184143.0</v>
      </c>
      <c r="U174" s="6" t="s">
        <v>321</v>
      </c>
      <c r="V174" s="6" t="s">
        <v>187</v>
      </c>
      <c r="W174" s="6" t="s">
        <v>141</v>
      </c>
      <c r="X174" s="6" t="s">
        <v>143</v>
      </c>
      <c r="Y174" s="6" t="s">
        <v>251</v>
      </c>
      <c r="Z174" s="28"/>
      <c r="AA174" s="22" t="s">
        <v>1566</v>
      </c>
      <c r="AB174" s="28"/>
      <c r="AC174" s="28"/>
      <c r="AD174" s="7"/>
      <c r="AE174" s="7"/>
      <c r="AF174" s="30" t="s">
        <v>2005</v>
      </c>
    </row>
    <row r="175">
      <c r="A175" s="15">
        <v>174.0</v>
      </c>
      <c r="B175" s="84" t="s">
        <v>1557</v>
      </c>
      <c r="C175" s="17" t="s">
        <v>116</v>
      </c>
      <c r="D175" s="6">
        <v>2.02301016276E12</v>
      </c>
      <c r="E175" s="6">
        <v>1.124231922E10</v>
      </c>
      <c r="F175" s="6" t="s">
        <v>2006</v>
      </c>
      <c r="G175" s="6" t="s">
        <v>2007</v>
      </c>
      <c r="H175" s="6" t="s">
        <v>2008</v>
      </c>
      <c r="I175" s="6" t="s">
        <v>164</v>
      </c>
      <c r="J175" s="6" t="s">
        <v>2009</v>
      </c>
      <c r="K175" s="6">
        <v>123456.0</v>
      </c>
      <c r="L175" s="6">
        <v>8.082815332E9</v>
      </c>
      <c r="M175" s="6">
        <v>7.051323562E9</v>
      </c>
      <c r="N175" s="6">
        <v>9.596265091E9</v>
      </c>
      <c r="O175" s="32">
        <v>38705.0</v>
      </c>
      <c r="P175" s="6" t="s">
        <v>2010</v>
      </c>
      <c r="Q175" s="6" t="s">
        <v>2011</v>
      </c>
      <c r="R175" s="6" t="s">
        <v>1454</v>
      </c>
      <c r="S175" s="6" t="s">
        <v>1455</v>
      </c>
      <c r="T175" s="6">
        <v>182311.0</v>
      </c>
      <c r="U175" s="6" t="s">
        <v>138</v>
      </c>
      <c r="V175" s="6" t="s">
        <v>140</v>
      </c>
      <c r="W175" s="6" t="s">
        <v>141</v>
      </c>
      <c r="X175" s="6" t="s">
        <v>229</v>
      </c>
      <c r="Y175" s="6" t="s">
        <v>251</v>
      </c>
      <c r="Z175" s="28"/>
      <c r="AA175" s="22" t="s">
        <v>1566</v>
      </c>
      <c r="AB175" s="28"/>
      <c r="AC175" s="28"/>
      <c r="AD175" s="7"/>
      <c r="AE175" s="7"/>
      <c r="AF175" s="30" t="s">
        <v>2012</v>
      </c>
    </row>
    <row r="176">
      <c r="A176" s="15">
        <v>175.0</v>
      </c>
      <c r="B176" s="84" t="s">
        <v>1557</v>
      </c>
      <c r="C176" s="17" t="s">
        <v>116</v>
      </c>
      <c r="D176" s="6">
        <v>2.023010162669E12</v>
      </c>
      <c r="E176" s="6">
        <v>1.1242319221E10</v>
      </c>
      <c r="F176" s="6" t="s">
        <v>2013</v>
      </c>
      <c r="G176" s="6" t="s">
        <v>2014</v>
      </c>
      <c r="H176" s="6" t="s">
        <v>2015</v>
      </c>
      <c r="I176" s="6" t="s">
        <v>164</v>
      </c>
      <c r="J176" s="6" t="s">
        <v>2016</v>
      </c>
      <c r="K176" s="6">
        <v>123456.0</v>
      </c>
      <c r="L176" s="6">
        <v>6.006510228E9</v>
      </c>
      <c r="M176" s="6">
        <v>8.899074734E9</v>
      </c>
      <c r="N176" s="6">
        <v>7.889679202E9</v>
      </c>
      <c r="O176" s="32">
        <v>38335.0</v>
      </c>
      <c r="P176" s="6" t="s">
        <v>2017</v>
      </c>
      <c r="Q176" s="6" t="s">
        <v>2018</v>
      </c>
      <c r="R176" s="6" t="s">
        <v>2019</v>
      </c>
      <c r="S176" s="6" t="s">
        <v>1455</v>
      </c>
      <c r="T176" s="6">
        <v>185155.0</v>
      </c>
      <c r="U176" s="6" t="s">
        <v>169</v>
      </c>
      <c r="V176" s="6" t="s">
        <v>66</v>
      </c>
      <c r="W176" s="6" t="s">
        <v>141</v>
      </c>
      <c r="X176" s="6" t="s">
        <v>143</v>
      </c>
      <c r="Y176" s="6" t="s">
        <v>251</v>
      </c>
      <c r="Z176" s="28"/>
      <c r="AA176" s="22" t="s">
        <v>1566</v>
      </c>
      <c r="AB176" s="28"/>
      <c r="AC176" s="28"/>
      <c r="AD176" s="7"/>
      <c r="AE176" s="7"/>
      <c r="AF176" s="30" t="s">
        <v>2020</v>
      </c>
    </row>
    <row r="177">
      <c r="A177" s="15">
        <v>176.0</v>
      </c>
      <c r="B177" s="84" t="s">
        <v>1557</v>
      </c>
      <c r="C177" s="17" t="s">
        <v>116</v>
      </c>
      <c r="D177" s="6">
        <v>2.023010162142E12</v>
      </c>
      <c r="E177" s="6">
        <v>1.1242319222E10</v>
      </c>
      <c r="F177" s="6" t="s">
        <v>2021</v>
      </c>
      <c r="G177" s="6" t="s">
        <v>2022</v>
      </c>
      <c r="H177" s="6" t="s">
        <v>2023</v>
      </c>
      <c r="I177" s="6" t="s">
        <v>126</v>
      </c>
      <c r="J177" s="6" t="s">
        <v>2024</v>
      </c>
      <c r="K177" s="30" t="s">
        <v>291</v>
      </c>
      <c r="L177" s="6">
        <v>8.899791611E9</v>
      </c>
      <c r="M177" s="6">
        <v>7.051635083E9</v>
      </c>
      <c r="N177" s="6">
        <v>9.797112504E9</v>
      </c>
      <c r="O177" s="32">
        <v>38363.0</v>
      </c>
      <c r="P177" s="6" t="s">
        <v>2025</v>
      </c>
      <c r="Q177" s="6" t="s">
        <v>2026</v>
      </c>
      <c r="R177" s="6" t="s">
        <v>1454</v>
      </c>
      <c r="S177" s="6" t="s">
        <v>1972</v>
      </c>
      <c r="T177" s="30" t="s">
        <v>2027</v>
      </c>
      <c r="U177" s="6" t="s">
        <v>169</v>
      </c>
      <c r="V177" s="6" t="s">
        <v>156</v>
      </c>
      <c r="W177" s="6" t="s">
        <v>141</v>
      </c>
      <c r="X177" s="6" t="s">
        <v>188</v>
      </c>
      <c r="Y177" s="6" t="s">
        <v>251</v>
      </c>
      <c r="Z177" s="7"/>
      <c r="AA177" s="22" t="s">
        <v>1566</v>
      </c>
      <c r="AB177" s="7"/>
      <c r="AC177" s="7"/>
      <c r="AD177" s="7"/>
      <c r="AE177" s="7"/>
      <c r="AF177" s="30" t="s">
        <v>2028</v>
      </c>
    </row>
    <row r="178">
      <c r="A178" s="15">
        <v>177.0</v>
      </c>
      <c r="B178" s="84" t="s">
        <v>1557</v>
      </c>
      <c r="C178" s="17" t="s">
        <v>116</v>
      </c>
      <c r="D178" s="6">
        <v>2.02301016254E12</v>
      </c>
      <c r="E178" s="6">
        <v>1.1242319223E10</v>
      </c>
      <c r="F178" s="6" t="s">
        <v>2029</v>
      </c>
      <c r="G178" s="6" t="s">
        <v>2030</v>
      </c>
      <c r="H178" s="6" t="s">
        <v>2031</v>
      </c>
      <c r="I178" s="6" t="s">
        <v>126</v>
      </c>
      <c r="J178" s="6" t="s">
        <v>2032</v>
      </c>
      <c r="K178" s="6">
        <v>123456.0</v>
      </c>
      <c r="L178" s="6">
        <v>9.103014507E9</v>
      </c>
      <c r="M178" s="6">
        <v>9.622153057E9</v>
      </c>
      <c r="N178" s="6">
        <v>9.858277329E9</v>
      </c>
      <c r="O178" s="32">
        <v>38193.0</v>
      </c>
      <c r="P178" s="6" t="s">
        <v>2033</v>
      </c>
      <c r="Q178" s="6" t="s">
        <v>2034</v>
      </c>
      <c r="R178" s="6" t="s">
        <v>1972</v>
      </c>
      <c r="S178" s="6" t="s">
        <v>1455</v>
      </c>
      <c r="T178" s="6">
        <v>182101.0</v>
      </c>
      <c r="U178" s="6" t="s">
        <v>169</v>
      </c>
      <c r="V178" s="6" t="s">
        <v>187</v>
      </c>
      <c r="W178" s="6" t="s">
        <v>141</v>
      </c>
      <c r="X178" s="6" t="s">
        <v>143</v>
      </c>
      <c r="Y178" s="6" t="s">
        <v>251</v>
      </c>
      <c r="Z178" s="28"/>
      <c r="AA178" s="22" t="s">
        <v>1566</v>
      </c>
      <c r="AB178" s="28"/>
      <c r="AC178" s="28"/>
      <c r="AD178" s="7"/>
      <c r="AE178" s="7"/>
      <c r="AF178" s="30" t="s">
        <v>2035</v>
      </c>
    </row>
    <row r="179">
      <c r="A179" s="15">
        <v>178.0</v>
      </c>
      <c r="B179" s="84" t="s">
        <v>1557</v>
      </c>
      <c r="C179" s="17" t="s">
        <v>116</v>
      </c>
      <c r="D179" s="6">
        <v>2.023010162063E12</v>
      </c>
      <c r="E179" s="6">
        <v>1.1242319224E10</v>
      </c>
      <c r="F179" s="6" t="s">
        <v>2036</v>
      </c>
      <c r="G179" s="6" t="s">
        <v>2037</v>
      </c>
      <c r="H179" s="6" t="s">
        <v>2038</v>
      </c>
      <c r="I179" s="6" t="s">
        <v>164</v>
      </c>
      <c r="J179" s="6" t="s">
        <v>2039</v>
      </c>
      <c r="K179" s="6">
        <v>123456.0</v>
      </c>
      <c r="L179" s="6">
        <v>9.682127857E9</v>
      </c>
      <c r="M179" s="6">
        <v>9.682127857E9</v>
      </c>
      <c r="N179" s="6">
        <v>9.797306893E9</v>
      </c>
      <c r="O179" s="23">
        <v>38633.0</v>
      </c>
      <c r="P179" s="6" t="s">
        <v>2040</v>
      </c>
      <c r="Q179" s="6" t="s">
        <v>2041</v>
      </c>
      <c r="R179" s="6" t="s">
        <v>1971</v>
      </c>
      <c r="S179" s="6" t="s">
        <v>1455</v>
      </c>
      <c r="T179" s="6">
        <v>182124.0</v>
      </c>
      <c r="U179" s="6" t="s">
        <v>169</v>
      </c>
      <c r="V179" s="6" t="s">
        <v>140</v>
      </c>
      <c r="W179" s="6" t="s">
        <v>141</v>
      </c>
      <c r="X179" s="6" t="s">
        <v>208</v>
      </c>
      <c r="Y179" s="6" t="s">
        <v>251</v>
      </c>
      <c r="Z179" s="28"/>
      <c r="AA179" s="22" t="s">
        <v>1566</v>
      </c>
      <c r="AB179" s="28"/>
      <c r="AC179" s="28"/>
      <c r="AD179" s="7"/>
      <c r="AE179" s="7"/>
      <c r="AF179" s="30" t="s">
        <v>2042</v>
      </c>
    </row>
    <row r="180">
      <c r="A180" s="15">
        <v>179.0</v>
      </c>
      <c r="B180" s="84" t="s">
        <v>1557</v>
      </c>
      <c r="C180" s="17" t="s">
        <v>116</v>
      </c>
      <c r="D180" s="6">
        <v>2.023010160784E12</v>
      </c>
      <c r="E180" s="6">
        <v>1.1242319225E10</v>
      </c>
      <c r="F180" s="6" t="s">
        <v>2043</v>
      </c>
      <c r="G180" s="6" t="s">
        <v>2044</v>
      </c>
      <c r="H180" s="6" t="s">
        <v>2045</v>
      </c>
      <c r="I180" s="6" t="s">
        <v>126</v>
      </c>
      <c r="J180" s="6" t="s">
        <v>2046</v>
      </c>
      <c r="K180" s="30" t="s">
        <v>291</v>
      </c>
      <c r="L180" s="6">
        <v>8.899613605E9</v>
      </c>
      <c r="M180" s="6">
        <v>7.889782981E9</v>
      </c>
      <c r="N180" s="6">
        <v>9.797355047E9</v>
      </c>
      <c r="O180" s="32">
        <v>38566.0</v>
      </c>
      <c r="P180" s="6" t="s">
        <v>2047</v>
      </c>
      <c r="Q180" s="6" t="s">
        <v>2048</v>
      </c>
      <c r="R180" s="6" t="s">
        <v>1537</v>
      </c>
      <c r="S180" s="6" t="s">
        <v>1455</v>
      </c>
      <c r="T180" s="30" t="s">
        <v>2049</v>
      </c>
      <c r="U180" s="6" t="s">
        <v>169</v>
      </c>
      <c r="V180" s="6" t="s">
        <v>156</v>
      </c>
      <c r="W180" s="6" t="s">
        <v>141</v>
      </c>
      <c r="X180" s="6" t="s">
        <v>718</v>
      </c>
      <c r="Y180" s="6" t="s">
        <v>251</v>
      </c>
      <c r="Z180" s="7"/>
      <c r="AA180" s="22" t="s">
        <v>1566</v>
      </c>
      <c r="AB180" s="7"/>
      <c r="AC180" s="7"/>
      <c r="AD180" s="7"/>
      <c r="AE180" s="7"/>
      <c r="AF180" s="30" t="s">
        <v>2050</v>
      </c>
    </row>
    <row r="181">
      <c r="A181" s="15">
        <v>180.0</v>
      </c>
      <c r="B181" s="84" t="s">
        <v>1557</v>
      </c>
      <c r="C181" s="17" t="s">
        <v>116</v>
      </c>
      <c r="D181" s="6">
        <v>2.023010162036E12</v>
      </c>
      <c r="E181" s="6">
        <v>1.1242319226E10</v>
      </c>
      <c r="F181" s="6" t="s">
        <v>2051</v>
      </c>
      <c r="G181" s="6" t="s">
        <v>653</v>
      </c>
      <c r="H181" s="6" t="s">
        <v>2052</v>
      </c>
      <c r="I181" s="6" t="s">
        <v>126</v>
      </c>
      <c r="J181" s="6" t="s">
        <v>2053</v>
      </c>
      <c r="K181" s="30" t="s">
        <v>291</v>
      </c>
      <c r="L181" s="6">
        <v>6.00675024E9</v>
      </c>
      <c r="M181" s="6">
        <v>9.596915093E9</v>
      </c>
      <c r="N181" s="6">
        <v>7.889595596E9</v>
      </c>
      <c r="O181" s="32">
        <v>38743.0</v>
      </c>
      <c r="P181" s="6" t="s">
        <v>2054</v>
      </c>
      <c r="Q181" s="6" t="s">
        <v>2055</v>
      </c>
      <c r="R181" s="6" t="s">
        <v>1971</v>
      </c>
      <c r="S181" s="6" t="s">
        <v>1972</v>
      </c>
      <c r="T181" s="30" t="s">
        <v>1990</v>
      </c>
      <c r="U181" s="6" t="s">
        <v>169</v>
      </c>
      <c r="V181" s="6" t="s">
        <v>156</v>
      </c>
      <c r="W181" s="6" t="s">
        <v>141</v>
      </c>
      <c r="X181" s="6" t="s">
        <v>718</v>
      </c>
      <c r="Y181" s="6" t="s">
        <v>251</v>
      </c>
      <c r="Z181" s="7"/>
      <c r="AA181" s="22" t="s">
        <v>1566</v>
      </c>
      <c r="AB181" s="7"/>
      <c r="AC181" s="7"/>
      <c r="AD181" s="7"/>
      <c r="AE181" s="7"/>
      <c r="AF181" s="30" t="s">
        <v>2056</v>
      </c>
    </row>
    <row r="182">
      <c r="A182" s="15">
        <v>181.0</v>
      </c>
      <c r="B182" s="84" t="s">
        <v>1557</v>
      </c>
      <c r="C182" s="17" t="s">
        <v>116</v>
      </c>
      <c r="D182" s="6">
        <v>2.023010160393E12</v>
      </c>
      <c r="E182" s="6">
        <v>1.1242319227E10</v>
      </c>
      <c r="F182" s="6" t="s">
        <v>2057</v>
      </c>
      <c r="G182" s="6" t="s">
        <v>2058</v>
      </c>
      <c r="H182" s="6" t="s">
        <v>2059</v>
      </c>
      <c r="I182" s="6" t="s">
        <v>164</v>
      </c>
      <c r="J182" s="6" t="s">
        <v>2060</v>
      </c>
      <c r="K182" s="30" t="s">
        <v>291</v>
      </c>
      <c r="L182" s="6">
        <v>8.89948008E8</v>
      </c>
      <c r="M182" s="6">
        <v>9.797301808E9</v>
      </c>
      <c r="N182" s="6">
        <v>7.889884581E9</v>
      </c>
      <c r="O182" s="32">
        <v>45672.0</v>
      </c>
      <c r="P182" s="6" t="s">
        <v>2061</v>
      </c>
      <c r="Q182" s="6" t="s">
        <v>2062</v>
      </c>
      <c r="R182" s="6" t="s">
        <v>2063</v>
      </c>
      <c r="S182" s="6" t="s">
        <v>1972</v>
      </c>
      <c r="T182" s="30" t="s">
        <v>1973</v>
      </c>
      <c r="U182" s="6" t="s">
        <v>2064</v>
      </c>
      <c r="V182" s="6" t="s">
        <v>66</v>
      </c>
      <c r="W182" s="6" t="s">
        <v>141</v>
      </c>
      <c r="X182" s="6" t="s">
        <v>718</v>
      </c>
      <c r="Y182" s="6" t="s">
        <v>251</v>
      </c>
      <c r="Z182" s="7"/>
      <c r="AA182" s="22" t="s">
        <v>1566</v>
      </c>
      <c r="AB182" s="7"/>
      <c r="AC182" s="7"/>
      <c r="AD182" s="7"/>
      <c r="AE182" s="7"/>
      <c r="AF182" s="30" t="s">
        <v>2065</v>
      </c>
    </row>
    <row r="183">
      <c r="A183" s="15">
        <v>182.0</v>
      </c>
      <c r="B183" s="84" t="s">
        <v>1557</v>
      </c>
      <c r="C183" s="17" t="s">
        <v>116</v>
      </c>
      <c r="D183" s="6">
        <v>2.023010077588E12</v>
      </c>
      <c r="E183" s="6">
        <v>1.1242319228E10</v>
      </c>
      <c r="F183" s="6" t="s">
        <v>2066</v>
      </c>
      <c r="G183" s="6" t="s">
        <v>2067</v>
      </c>
      <c r="H183" s="6" t="s">
        <v>2068</v>
      </c>
      <c r="I183" s="6" t="s">
        <v>126</v>
      </c>
      <c r="J183" s="6" t="s">
        <v>2069</v>
      </c>
      <c r="K183" s="6">
        <v>123456.0</v>
      </c>
      <c r="L183" s="6">
        <v>9.682300167E9</v>
      </c>
      <c r="M183" s="6">
        <v>9.103386894E9</v>
      </c>
      <c r="N183" s="6">
        <v>7.051949561E9</v>
      </c>
      <c r="O183" s="6" t="s">
        <v>2070</v>
      </c>
      <c r="P183" s="6" t="s">
        <v>2071</v>
      </c>
      <c r="Q183" s="6" t="s">
        <v>2072</v>
      </c>
      <c r="R183" s="6" t="s">
        <v>2073</v>
      </c>
      <c r="S183" s="6" t="s">
        <v>1455</v>
      </c>
      <c r="T183" s="6">
        <v>184101.0</v>
      </c>
      <c r="U183" s="6" t="s">
        <v>169</v>
      </c>
      <c r="V183" s="6" t="s">
        <v>187</v>
      </c>
      <c r="W183" s="6" t="s">
        <v>141</v>
      </c>
      <c r="X183" s="6" t="s">
        <v>143</v>
      </c>
      <c r="Y183" s="6" t="s">
        <v>251</v>
      </c>
      <c r="Z183" s="28"/>
      <c r="AA183" s="22" t="s">
        <v>1566</v>
      </c>
      <c r="AB183" s="28"/>
      <c r="AC183" s="28"/>
      <c r="AD183" s="7"/>
      <c r="AE183" s="7"/>
      <c r="AF183" s="7"/>
    </row>
    <row r="184">
      <c r="A184" s="15">
        <v>183.0</v>
      </c>
      <c r="B184" s="84" t="s">
        <v>1557</v>
      </c>
      <c r="C184" s="17" t="s">
        <v>116</v>
      </c>
      <c r="D184" s="6">
        <v>2.023010159182E12</v>
      </c>
      <c r="E184" s="6">
        <v>1.1242319229E10</v>
      </c>
      <c r="F184" s="6" t="s">
        <v>2074</v>
      </c>
      <c r="G184" s="6" t="s">
        <v>2075</v>
      </c>
      <c r="H184" s="6" t="s">
        <v>2076</v>
      </c>
      <c r="I184" s="6" t="s">
        <v>164</v>
      </c>
      <c r="J184" s="6" t="s">
        <v>2077</v>
      </c>
      <c r="K184" s="6">
        <v>123456.0</v>
      </c>
      <c r="L184" s="6">
        <v>9.541895658E9</v>
      </c>
      <c r="M184" s="6">
        <v>9.797679477E9</v>
      </c>
      <c r="N184" s="6">
        <v>9.797679477E9</v>
      </c>
      <c r="O184" s="23">
        <v>38239.0</v>
      </c>
      <c r="P184" s="6" t="s">
        <v>2078</v>
      </c>
      <c r="Q184" s="6" t="s">
        <v>2079</v>
      </c>
      <c r="R184" s="6" t="s">
        <v>1454</v>
      </c>
      <c r="S184" s="6" t="s">
        <v>1455</v>
      </c>
      <c r="T184" s="6">
        <v>182311.0</v>
      </c>
      <c r="U184" s="6" t="s">
        <v>169</v>
      </c>
      <c r="V184" s="6" t="s">
        <v>140</v>
      </c>
      <c r="W184" s="6" t="s">
        <v>141</v>
      </c>
      <c r="X184" s="6" t="s">
        <v>229</v>
      </c>
      <c r="Y184" s="6" t="s">
        <v>251</v>
      </c>
      <c r="Z184" s="28"/>
      <c r="AA184" s="22" t="s">
        <v>1566</v>
      </c>
      <c r="AB184" s="28"/>
      <c r="AC184" s="28"/>
      <c r="AD184" s="7"/>
      <c r="AE184" s="7"/>
      <c r="AF184" s="30" t="s">
        <v>2080</v>
      </c>
    </row>
    <row r="185">
      <c r="A185" s="15">
        <v>184.0</v>
      </c>
      <c r="B185" s="84" t="s">
        <v>1557</v>
      </c>
      <c r="C185" s="17" t="s">
        <v>116</v>
      </c>
      <c r="D185" s="6">
        <v>2.022010044775E12</v>
      </c>
      <c r="E185" s="6">
        <v>1.1242319231E10</v>
      </c>
      <c r="F185" s="6" t="s">
        <v>2081</v>
      </c>
      <c r="G185" s="6" t="s">
        <v>2082</v>
      </c>
      <c r="H185" s="6" t="s">
        <v>2083</v>
      </c>
      <c r="I185" s="6" t="s">
        <v>164</v>
      </c>
      <c r="J185" s="6" t="s">
        <v>2084</v>
      </c>
      <c r="K185" s="6">
        <v>123456.0</v>
      </c>
      <c r="L185" s="6">
        <v>8.360386905E9</v>
      </c>
      <c r="M185" s="6">
        <v>9.646689399E9</v>
      </c>
      <c r="N185" s="6">
        <v>7.837125599E9</v>
      </c>
      <c r="O185" s="32">
        <v>38103.0</v>
      </c>
      <c r="P185" s="6" t="s">
        <v>2085</v>
      </c>
      <c r="Q185" s="6" t="s">
        <v>2086</v>
      </c>
      <c r="R185" s="6" t="s">
        <v>135</v>
      </c>
      <c r="S185" s="6" t="s">
        <v>136</v>
      </c>
      <c r="T185" s="30" t="s">
        <v>186</v>
      </c>
      <c r="U185" s="6" t="s">
        <v>169</v>
      </c>
      <c r="V185" s="6" t="s">
        <v>66</v>
      </c>
      <c r="W185" s="6" t="s">
        <v>141</v>
      </c>
      <c r="X185" s="6" t="s">
        <v>250</v>
      </c>
      <c r="Y185" s="6" t="s">
        <v>144</v>
      </c>
      <c r="Z185" s="7"/>
      <c r="AA185" s="22" t="s">
        <v>1566</v>
      </c>
      <c r="AB185" s="7"/>
      <c r="AC185" s="7"/>
      <c r="AD185" s="7"/>
      <c r="AE185" s="7"/>
      <c r="AF185" s="30" t="s">
        <v>2087</v>
      </c>
    </row>
    <row r="186">
      <c r="A186" s="15">
        <v>185.0</v>
      </c>
      <c r="B186" s="85" t="s">
        <v>2088</v>
      </c>
      <c r="C186" s="17" t="s">
        <v>116</v>
      </c>
      <c r="D186" s="6">
        <v>2.018010019071E12</v>
      </c>
      <c r="E186" s="6">
        <v>1.1242223101E10</v>
      </c>
      <c r="F186" s="6" t="s">
        <v>526</v>
      </c>
      <c r="G186" s="6" t="s">
        <v>122</v>
      </c>
      <c r="H186" s="6" t="s">
        <v>180</v>
      </c>
      <c r="I186" s="6" t="s">
        <v>126</v>
      </c>
      <c r="J186" s="6" t="s">
        <v>2089</v>
      </c>
      <c r="K186" s="30" t="s">
        <v>291</v>
      </c>
      <c r="L186" s="6">
        <v>7.087484728E9</v>
      </c>
      <c r="M186" s="6">
        <v>9.815225886E9</v>
      </c>
      <c r="N186" s="6">
        <v>9.815225886E9</v>
      </c>
      <c r="O186" s="32">
        <v>36444.0</v>
      </c>
      <c r="P186" s="6" t="s">
        <v>2090</v>
      </c>
      <c r="Q186" s="6" t="s">
        <v>2091</v>
      </c>
      <c r="R186" s="6" t="s">
        <v>135</v>
      </c>
      <c r="S186" s="6" t="s">
        <v>136</v>
      </c>
      <c r="T186" s="30" t="s">
        <v>2092</v>
      </c>
      <c r="U186" s="6" t="s">
        <v>138</v>
      </c>
      <c r="V186" s="6" t="s">
        <v>156</v>
      </c>
      <c r="W186" s="6" t="s">
        <v>141</v>
      </c>
      <c r="X186" s="6" t="s">
        <v>1599</v>
      </c>
      <c r="Y186" s="6" t="s">
        <v>144</v>
      </c>
      <c r="Z186" s="6" t="s">
        <v>80</v>
      </c>
      <c r="AA186" s="57" t="s">
        <v>2093</v>
      </c>
      <c r="AB186" s="7"/>
      <c r="AC186" s="7"/>
      <c r="AD186" s="7"/>
      <c r="AE186" s="7"/>
      <c r="AF186" s="30" t="s">
        <v>2094</v>
      </c>
    </row>
    <row r="187">
      <c r="A187" s="15">
        <v>186.0</v>
      </c>
      <c r="B187" s="85" t="s">
        <v>2088</v>
      </c>
      <c r="C187" s="17" t="s">
        <v>116</v>
      </c>
      <c r="D187" s="6">
        <v>2.019010020965E12</v>
      </c>
      <c r="E187" s="6">
        <v>1.1242223102E10</v>
      </c>
      <c r="F187" s="6" t="s">
        <v>2095</v>
      </c>
      <c r="G187" s="6" t="s">
        <v>1762</v>
      </c>
      <c r="H187" s="6" t="s">
        <v>1924</v>
      </c>
      <c r="I187" s="6" t="s">
        <v>126</v>
      </c>
      <c r="J187" s="6" t="s">
        <v>2096</v>
      </c>
      <c r="K187" s="6">
        <v>1.2345678E7</v>
      </c>
      <c r="L187" s="6">
        <v>9.780081434E9</v>
      </c>
      <c r="M187" s="6">
        <v>9.501978475E9</v>
      </c>
      <c r="N187" s="6" t="s">
        <v>2097</v>
      </c>
      <c r="O187" s="23">
        <v>37598.0</v>
      </c>
      <c r="P187" s="6" t="s">
        <v>2098</v>
      </c>
      <c r="Q187" s="6" t="s">
        <v>2099</v>
      </c>
      <c r="R187" s="6" t="s">
        <v>437</v>
      </c>
      <c r="S187" s="6" t="s">
        <v>136</v>
      </c>
      <c r="T187" s="6">
        <v>143115.0</v>
      </c>
      <c r="U187" s="6" t="s">
        <v>138</v>
      </c>
      <c r="V187" s="6" t="s">
        <v>187</v>
      </c>
      <c r="W187" s="6" t="s">
        <v>141</v>
      </c>
      <c r="X187" s="6" t="s">
        <v>229</v>
      </c>
      <c r="Y187" s="6" t="s">
        <v>144</v>
      </c>
      <c r="Z187" s="28"/>
      <c r="AA187" s="57" t="s">
        <v>2093</v>
      </c>
      <c r="AB187" s="28"/>
      <c r="AC187" s="28"/>
      <c r="AD187" s="7"/>
      <c r="AE187" s="7"/>
      <c r="AF187" s="7"/>
    </row>
    <row r="188">
      <c r="A188" s="15">
        <v>187.0</v>
      </c>
      <c r="B188" s="85" t="s">
        <v>2088</v>
      </c>
      <c r="C188" s="17" t="s">
        <v>116</v>
      </c>
      <c r="D188" s="6">
        <v>2.019010025336E12</v>
      </c>
      <c r="E188" s="6">
        <v>1.1242223103E10</v>
      </c>
      <c r="F188" s="6" t="s">
        <v>2100</v>
      </c>
      <c r="G188" s="6" t="s">
        <v>179</v>
      </c>
      <c r="H188" s="6" t="s">
        <v>2101</v>
      </c>
      <c r="I188" s="6" t="s">
        <v>126</v>
      </c>
      <c r="J188" s="6" t="s">
        <v>2102</v>
      </c>
      <c r="K188" s="30" t="s">
        <v>291</v>
      </c>
      <c r="L188" s="6">
        <v>8.2848834E9</v>
      </c>
      <c r="M188" s="6">
        <v>9.781280073E9</v>
      </c>
      <c r="N188" s="6">
        <v>9.814972554E9</v>
      </c>
      <c r="O188" s="32">
        <v>37115.0</v>
      </c>
      <c r="P188" s="6" t="s">
        <v>2103</v>
      </c>
      <c r="Q188" s="6" t="s">
        <v>2104</v>
      </c>
      <c r="R188" s="6" t="s">
        <v>716</v>
      </c>
      <c r="S188" s="6" t="s">
        <v>136</v>
      </c>
      <c r="T188" s="30" t="s">
        <v>2105</v>
      </c>
      <c r="U188" s="6" t="s">
        <v>169</v>
      </c>
      <c r="V188" s="6" t="s">
        <v>156</v>
      </c>
      <c r="W188" s="6" t="s">
        <v>141</v>
      </c>
      <c r="X188" s="6" t="s">
        <v>188</v>
      </c>
      <c r="Y188" s="6" t="s">
        <v>144</v>
      </c>
      <c r="Z188" s="7"/>
      <c r="AA188" s="57" t="s">
        <v>2093</v>
      </c>
      <c r="AB188" s="7"/>
      <c r="AC188" s="7"/>
      <c r="AD188" s="7"/>
      <c r="AE188" s="7"/>
      <c r="AF188" s="30" t="s">
        <v>2106</v>
      </c>
    </row>
    <row r="189">
      <c r="A189" s="15">
        <v>188.0</v>
      </c>
      <c r="B189" s="85" t="s">
        <v>2088</v>
      </c>
      <c r="C189" s="17" t="s">
        <v>116</v>
      </c>
      <c r="D189" s="6">
        <v>2.021010074085E12</v>
      </c>
      <c r="E189" s="6">
        <v>1.1242223105E10</v>
      </c>
      <c r="F189" s="6" t="s">
        <v>2107</v>
      </c>
      <c r="G189" s="6" t="s">
        <v>318</v>
      </c>
      <c r="H189" s="6" t="s">
        <v>2108</v>
      </c>
      <c r="I189" s="6" t="s">
        <v>126</v>
      </c>
      <c r="J189" s="6" t="s">
        <v>2109</v>
      </c>
      <c r="K189" s="6" t="s">
        <v>2110</v>
      </c>
      <c r="L189" s="6">
        <v>8.699613756E9</v>
      </c>
      <c r="M189" s="6">
        <v>8.699586339E9</v>
      </c>
      <c r="N189" s="6">
        <v>9.915403756E9</v>
      </c>
      <c r="O189" s="23">
        <v>38261.0</v>
      </c>
      <c r="P189" s="6" t="s">
        <v>2111</v>
      </c>
      <c r="Q189" s="6" t="s">
        <v>2112</v>
      </c>
      <c r="R189" s="6" t="s">
        <v>135</v>
      </c>
      <c r="S189" s="6" t="s">
        <v>136</v>
      </c>
      <c r="T189" s="6">
        <v>143407.0</v>
      </c>
      <c r="U189" s="6" t="s">
        <v>138</v>
      </c>
      <c r="V189" s="6" t="s">
        <v>187</v>
      </c>
      <c r="W189" s="6" t="s">
        <v>141</v>
      </c>
      <c r="X189" s="6" t="s">
        <v>229</v>
      </c>
      <c r="Y189" s="6" t="s">
        <v>144</v>
      </c>
      <c r="Z189" s="28"/>
      <c r="AA189" s="57" t="s">
        <v>2093</v>
      </c>
      <c r="AB189" s="28"/>
      <c r="AC189" s="28"/>
      <c r="AD189" s="7"/>
      <c r="AE189" s="7"/>
      <c r="AF189" s="7"/>
    </row>
    <row r="190">
      <c r="A190" s="15">
        <v>189.0</v>
      </c>
      <c r="B190" s="85" t="s">
        <v>2088</v>
      </c>
      <c r="C190" s="17" t="s">
        <v>116</v>
      </c>
      <c r="D190" s="6">
        <v>2.021010074108E12</v>
      </c>
      <c r="E190" s="6">
        <v>1.1242223106E10</v>
      </c>
      <c r="F190" s="6" t="s">
        <v>800</v>
      </c>
      <c r="G190" s="6" t="s">
        <v>2113</v>
      </c>
      <c r="H190" s="6" t="s">
        <v>2114</v>
      </c>
      <c r="I190" s="6" t="s">
        <v>126</v>
      </c>
      <c r="J190" s="6" t="s">
        <v>2115</v>
      </c>
      <c r="K190" s="6" t="s">
        <v>2110</v>
      </c>
      <c r="L190" s="6">
        <v>8.699589698E9</v>
      </c>
      <c r="M190" s="6">
        <v>8.585037143E9</v>
      </c>
      <c r="N190" s="6">
        <v>9.915607158E9</v>
      </c>
      <c r="O190" s="6" t="s">
        <v>2116</v>
      </c>
      <c r="P190" s="6" t="s">
        <v>2117</v>
      </c>
      <c r="Q190" s="6" t="s">
        <v>2118</v>
      </c>
      <c r="R190" s="6" t="s">
        <v>135</v>
      </c>
      <c r="S190" s="6" t="s">
        <v>136</v>
      </c>
      <c r="T190" s="6">
        <v>143407.0</v>
      </c>
      <c r="U190" s="6" t="s">
        <v>138</v>
      </c>
      <c r="V190" s="6" t="s">
        <v>187</v>
      </c>
      <c r="W190" s="6" t="s">
        <v>141</v>
      </c>
      <c r="X190" s="6" t="s">
        <v>229</v>
      </c>
      <c r="Y190" s="6" t="s">
        <v>144</v>
      </c>
      <c r="Z190" s="28"/>
      <c r="AA190" s="57" t="s">
        <v>2093</v>
      </c>
      <c r="AB190" s="28"/>
      <c r="AC190" s="28"/>
      <c r="AD190" s="7"/>
      <c r="AE190" s="7"/>
      <c r="AF190" s="7"/>
    </row>
    <row r="191">
      <c r="A191" s="15">
        <v>190.0</v>
      </c>
      <c r="B191" s="85" t="s">
        <v>2088</v>
      </c>
      <c r="C191" s="17" t="s">
        <v>116</v>
      </c>
      <c r="D191" s="6">
        <v>2.021010074288E12</v>
      </c>
      <c r="E191" s="6">
        <v>1.1242223107E10</v>
      </c>
      <c r="F191" s="6" t="s">
        <v>694</v>
      </c>
      <c r="G191" s="6" t="s">
        <v>2119</v>
      </c>
      <c r="H191" s="6" t="s">
        <v>623</v>
      </c>
      <c r="I191" s="6" t="s">
        <v>164</v>
      </c>
      <c r="J191" s="6" t="s">
        <v>2120</v>
      </c>
      <c r="K191" s="6">
        <v>1.2345678E7</v>
      </c>
      <c r="L191" s="6">
        <v>7.508995011E9</v>
      </c>
      <c r="M191" s="6">
        <v>9.915180318E9</v>
      </c>
      <c r="N191" s="6">
        <v>9.915180318E9</v>
      </c>
      <c r="O191" s="23">
        <v>37841.0</v>
      </c>
      <c r="P191" s="6" t="s">
        <v>2121</v>
      </c>
      <c r="Q191" s="6" t="s">
        <v>2122</v>
      </c>
      <c r="R191" s="6" t="s">
        <v>135</v>
      </c>
      <c r="S191" s="6" t="s">
        <v>136</v>
      </c>
      <c r="T191" s="6">
        <v>143009.0</v>
      </c>
      <c r="U191" s="6" t="s">
        <v>169</v>
      </c>
      <c r="V191" s="6" t="s">
        <v>140</v>
      </c>
      <c r="W191" s="6" t="s">
        <v>141</v>
      </c>
      <c r="X191" s="6" t="s">
        <v>229</v>
      </c>
      <c r="Y191" s="6" t="s">
        <v>144</v>
      </c>
      <c r="Z191" s="28"/>
      <c r="AA191" s="57" t="s">
        <v>2093</v>
      </c>
      <c r="AB191" s="28"/>
      <c r="AC191" s="28"/>
      <c r="AD191" s="7"/>
      <c r="AE191" s="7"/>
      <c r="AF191" s="7"/>
    </row>
    <row r="192">
      <c r="A192" s="15">
        <v>191.0</v>
      </c>
      <c r="B192" s="85" t="s">
        <v>2088</v>
      </c>
      <c r="C192" s="17" t="s">
        <v>116</v>
      </c>
      <c r="D192" s="6">
        <v>2.021010077073E12</v>
      </c>
      <c r="E192" s="6">
        <v>1.1242223108E10</v>
      </c>
      <c r="F192" s="6" t="s">
        <v>2123</v>
      </c>
      <c r="G192" s="6" t="s">
        <v>2124</v>
      </c>
      <c r="H192" s="6" t="s">
        <v>1169</v>
      </c>
      <c r="I192" s="6" t="s">
        <v>126</v>
      </c>
      <c r="J192" s="6" t="s">
        <v>2125</v>
      </c>
      <c r="K192" s="6">
        <v>123456.0</v>
      </c>
      <c r="L192" s="6">
        <v>7.68887394E8</v>
      </c>
      <c r="M192" s="6">
        <v>6.284016292E9</v>
      </c>
      <c r="N192" s="6">
        <v>9.78198615E8</v>
      </c>
      <c r="O192" s="32">
        <v>37319.0</v>
      </c>
      <c r="P192" s="6" t="s">
        <v>2126</v>
      </c>
      <c r="Q192" s="6" t="s">
        <v>2127</v>
      </c>
      <c r="R192" s="6" t="s">
        <v>437</v>
      </c>
      <c r="S192" s="6" t="s">
        <v>136</v>
      </c>
      <c r="T192" s="30" t="s">
        <v>2128</v>
      </c>
      <c r="U192" s="6" t="s">
        <v>138</v>
      </c>
      <c r="V192" s="6" t="s">
        <v>187</v>
      </c>
      <c r="W192" s="6" t="s">
        <v>141</v>
      </c>
      <c r="X192" s="6" t="s">
        <v>2129</v>
      </c>
      <c r="Y192" s="6" t="s">
        <v>144</v>
      </c>
      <c r="Z192" s="6" t="s">
        <v>80</v>
      </c>
      <c r="AA192" s="57" t="s">
        <v>2093</v>
      </c>
      <c r="AB192" s="7"/>
      <c r="AC192" s="7"/>
      <c r="AD192" s="7"/>
      <c r="AE192" s="7"/>
      <c r="AF192" s="7"/>
    </row>
    <row r="193">
      <c r="A193" s="15">
        <v>192.0</v>
      </c>
      <c r="B193" s="85" t="s">
        <v>2088</v>
      </c>
      <c r="C193" s="17" t="s">
        <v>116</v>
      </c>
      <c r="D193" s="6">
        <v>2.022010001326E12</v>
      </c>
      <c r="E193" s="6">
        <v>1.1242223109E10</v>
      </c>
      <c r="F193" s="6" t="s">
        <v>694</v>
      </c>
      <c r="G193" s="6" t="s">
        <v>675</v>
      </c>
      <c r="H193" s="6" t="s">
        <v>430</v>
      </c>
      <c r="I193" s="6" t="s">
        <v>164</v>
      </c>
      <c r="J193" s="6" t="s">
        <v>2130</v>
      </c>
      <c r="K193" s="6" t="s">
        <v>2131</v>
      </c>
      <c r="L193" s="6">
        <v>7.719410983E9</v>
      </c>
      <c r="M193" s="6">
        <v>7.973450397E9</v>
      </c>
      <c r="N193" s="6">
        <v>9.914424543E9</v>
      </c>
      <c r="O193" s="23">
        <v>37536.0</v>
      </c>
      <c r="P193" s="6" t="s">
        <v>2132</v>
      </c>
      <c r="Q193" s="6" t="s">
        <v>2133</v>
      </c>
      <c r="R193" s="6" t="s">
        <v>135</v>
      </c>
      <c r="S193" s="6" t="s">
        <v>136</v>
      </c>
      <c r="T193" s="6">
        <v>143115.0</v>
      </c>
      <c r="U193" s="6" t="s">
        <v>321</v>
      </c>
      <c r="V193" s="6" t="s">
        <v>140</v>
      </c>
      <c r="W193" s="6" t="s">
        <v>141</v>
      </c>
      <c r="X193" s="6" t="s">
        <v>143</v>
      </c>
      <c r="Y193" s="6" t="s">
        <v>144</v>
      </c>
      <c r="Z193" s="28"/>
      <c r="AA193" s="57" t="s">
        <v>2093</v>
      </c>
      <c r="AB193" s="28"/>
      <c r="AC193" s="28"/>
      <c r="AD193" s="7"/>
      <c r="AE193" s="7"/>
      <c r="AF193" s="7"/>
    </row>
    <row r="194">
      <c r="A194" s="15">
        <v>193.0</v>
      </c>
      <c r="B194" s="85" t="s">
        <v>2088</v>
      </c>
      <c r="C194" s="17" t="s">
        <v>116</v>
      </c>
      <c r="D194" s="6">
        <v>2.022010001797E12</v>
      </c>
      <c r="E194" s="6">
        <v>1.124222311E10</v>
      </c>
      <c r="F194" s="6" t="s">
        <v>2134</v>
      </c>
      <c r="G194" s="6" t="s">
        <v>2135</v>
      </c>
      <c r="H194" s="6" t="s">
        <v>2136</v>
      </c>
      <c r="I194" s="6" t="s">
        <v>126</v>
      </c>
      <c r="J194" s="6" t="s">
        <v>2137</v>
      </c>
      <c r="K194" s="6">
        <v>123456.0</v>
      </c>
      <c r="L194" s="6">
        <v>7.717317783E9</v>
      </c>
      <c r="M194" s="6">
        <v>7.814174073E9</v>
      </c>
      <c r="N194" s="6">
        <v>7.814174073E9</v>
      </c>
      <c r="O194" s="6" t="s">
        <v>2138</v>
      </c>
      <c r="P194" s="6" t="s">
        <v>2139</v>
      </c>
      <c r="Q194" s="6" t="s">
        <v>2140</v>
      </c>
      <c r="R194" s="6" t="s">
        <v>135</v>
      </c>
      <c r="S194" s="6" t="s">
        <v>136</v>
      </c>
      <c r="T194" s="6">
        <v>143001.0</v>
      </c>
      <c r="U194" s="6" t="s">
        <v>138</v>
      </c>
      <c r="V194" s="6" t="s">
        <v>187</v>
      </c>
      <c r="W194" s="6" t="s">
        <v>141</v>
      </c>
      <c r="X194" s="6" t="s">
        <v>208</v>
      </c>
      <c r="Y194" s="6" t="s">
        <v>251</v>
      </c>
      <c r="Z194" s="28"/>
      <c r="AA194" s="57" t="s">
        <v>2093</v>
      </c>
      <c r="AB194" s="28"/>
      <c r="AC194" s="28"/>
      <c r="AD194" s="7"/>
      <c r="AE194" s="7"/>
      <c r="AF194" s="7"/>
    </row>
    <row r="195">
      <c r="A195" s="15">
        <v>194.0</v>
      </c>
      <c r="B195" s="85" t="s">
        <v>2088</v>
      </c>
      <c r="C195" s="17" t="s">
        <v>116</v>
      </c>
      <c r="D195" s="6">
        <v>2.022010002231E12</v>
      </c>
      <c r="E195" s="6">
        <v>1.1242223111E10</v>
      </c>
      <c r="F195" s="6" t="s">
        <v>2141</v>
      </c>
      <c r="G195" s="6" t="s">
        <v>2142</v>
      </c>
      <c r="H195" s="6" t="s">
        <v>2143</v>
      </c>
      <c r="I195" s="6" t="s">
        <v>164</v>
      </c>
      <c r="J195" s="6" t="s">
        <v>2144</v>
      </c>
      <c r="K195" s="6" t="s">
        <v>2145</v>
      </c>
      <c r="L195" s="6">
        <v>7.009969592E9</v>
      </c>
      <c r="M195" s="6">
        <v>8.427814569E9</v>
      </c>
      <c r="N195" s="6">
        <v>9.888461633E9</v>
      </c>
      <c r="O195" s="23">
        <v>37136.0</v>
      </c>
      <c r="P195" s="6" t="s">
        <v>2146</v>
      </c>
      <c r="Q195" s="6" t="s">
        <v>2147</v>
      </c>
      <c r="R195" s="6" t="s">
        <v>135</v>
      </c>
      <c r="S195" s="6" t="s">
        <v>136</v>
      </c>
      <c r="T195" s="6">
        <v>143001.0</v>
      </c>
      <c r="U195" s="6" t="s">
        <v>169</v>
      </c>
      <c r="V195" s="6" t="s">
        <v>140</v>
      </c>
      <c r="W195" s="6" t="s">
        <v>141</v>
      </c>
      <c r="X195" s="6" t="s">
        <v>965</v>
      </c>
      <c r="Y195" s="6" t="s">
        <v>251</v>
      </c>
      <c r="Z195" s="28"/>
      <c r="AA195" s="57" t="s">
        <v>2093</v>
      </c>
      <c r="AB195" s="28"/>
      <c r="AC195" s="28"/>
      <c r="AD195" s="7"/>
      <c r="AE195" s="7"/>
      <c r="AF195" s="7"/>
    </row>
    <row r="196">
      <c r="A196" s="15">
        <v>195.0</v>
      </c>
      <c r="B196" s="85" t="s">
        <v>2088</v>
      </c>
      <c r="C196" s="17" t="s">
        <v>116</v>
      </c>
      <c r="D196" s="6">
        <v>2.022010002417E12</v>
      </c>
      <c r="E196" s="6">
        <v>1.1242223112E10</v>
      </c>
      <c r="F196" s="6" t="s">
        <v>2148</v>
      </c>
      <c r="G196" s="6" t="s">
        <v>2149</v>
      </c>
      <c r="H196" s="6" t="s">
        <v>2150</v>
      </c>
      <c r="I196" s="6" t="s">
        <v>164</v>
      </c>
      <c r="J196" s="6" t="s">
        <v>2151</v>
      </c>
      <c r="K196" s="6" t="s">
        <v>2152</v>
      </c>
      <c r="L196" s="6">
        <v>9.876156835E9</v>
      </c>
      <c r="M196" s="6">
        <v>9.356002535E9</v>
      </c>
      <c r="N196" s="6">
        <v>9.988171535E9</v>
      </c>
      <c r="O196" s="6" t="s">
        <v>2153</v>
      </c>
      <c r="P196" s="6" t="s">
        <v>2154</v>
      </c>
      <c r="Q196" s="6" t="s">
        <v>2155</v>
      </c>
      <c r="R196" s="6" t="s">
        <v>135</v>
      </c>
      <c r="S196" s="6" t="s">
        <v>136</v>
      </c>
      <c r="T196" s="6">
        <v>143001.0</v>
      </c>
      <c r="U196" s="6" t="s">
        <v>169</v>
      </c>
      <c r="V196" s="6" t="s">
        <v>140</v>
      </c>
      <c r="W196" s="6" t="s">
        <v>141</v>
      </c>
      <c r="X196" s="6" t="s">
        <v>229</v>
      </c>
      <c r="Y196" s="6" t="s">
        <v>251</v>
      </c>
      <c r="Z196" s="28"/>
      <c r="AA196" s="57" t="s">
        <v>2093</v>
      </c>
      <c r="AB196" s="28"/>
      <c r="AC196" s="28"/>
      <c r="AD196" s="7"/>
      <c r="AE196" s="7"/>
      <c r="AF196" s="7"/>
    </row>
    <row r="197">
      <c r="A197" s="15">
        <v>196.0</v>
      </c>
      <c r="B197" s="85" t="s">
        <v>2088</v>
      </c>
      <c r="C197" s="17" t="s">
        <v>116</v>
      </c>
      <c r="D197" s="6">
        <v>2.022010002887E12</v>
      </c>
      <c r="E197" s="6">
        <v>1.1242223113E10</v>
      </c>
      <c r="F197" s="6" t="s">
        <v>523</v>
      </c>
      <c r="G197" s="6" t="s">
        <v>2156</v>
      </c>
      <c r="H197" s="6" t="s">
        <v>1734</v>
      </c>
      <c r="I197" s="6" t="s">
        <v>164</v>
      </c>
      <c r="J197" s="6" t="s">
        <v>2157</v>
      </c>
      <c r="K197" s="6" t="s">
        <v>2158</v>
      </c>
      <c r="L197" s="6">
        <v>7.626870437E9</v>
      </c>
      <c r="M197" s="6">
        <v>8.360311935E9</v>
      </c>
      <c r="N197" s="6">
        <v>8.360311935E9</v>
      </c>
      <c r="O197" s="6" t="s">
        <v>2159</v>
      </c>
      <c r="P197" s="6" t="s">
        <v>2160</v>
      </c>
      <c r="Q197" s="6" t="s">
        <v>2161</v>
      </c>
      <c r="R197" s="6" t="s">
        <v>135</v>
      </c>
      <c r="S197" s="6" t="s">
        <v>136</v>
      </c>
      <c r="T197" s="6">
        <v>143001.0</v>
      </c>
      <c r="U197" s="6" t="s">
        <v>138</v>
      </c>
      <c r="V197" s="6" t="s">
        <v>140</v>
      </c>
      <c r="W197" s="6" t="s">
        <v>141</v>
      </c>
      <c r="X197" s="6" t="s">
        <v>229</v>
      </c>
      <c r="Y197" s="6" t="s">
        <v>144</v>
      </c>
      <c r="Z197" s="28"/>
      <c r="AA197" s="57" t="s">
        <v>2093</v>
      </c>
      <c r="AB197" s="28"/>
      <c r="AC197" s="28"/>
      <c r="AD197" s="7"/>
      <c r="AE197" s="7"/>
      <c r="AF197" s="7"/>
    </row>
    <row r="198">
      <c r="A198" s="15">
        <v>197.0</v>
      </c>
      <c r="B198" s="85" t="s">
        <v>2088</v>
      </c>
      <c r="C198" s="17" t="s">
        <v>116</v>
      </c>
      <c r="D198" s="6">
        <v>2.022010003078E12</v>
      </c>
      <c r="E198" s="6">
        <v>1.1242223114E10</v>
      </c>
      <c r="F198" s="6" t="s">
        <v>2162</v>
      </c>
      <c r="G198" s="6" t="s">
        <v>2163</v>
      </c>
      <c r="H198" s="7"/>
      <c r="I198" s="6" t="s">
        <v>126</v>
      </c>
      <c r="J198" s="6" t="s">
        <v>2164</v>
      </c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57" t="s">
        <v>2093</v>
      </c>
      <c r="AB198" s="7"/>
      <c r="AC198" s="7"/>
      <c r="AD198" s="7"/>
      <c r="AE198" s="7"/>
      <c r="AF198" s="7"/>
    </row>
    <row r="199">
      <c r="A199" s="15">
        <v>198.0</v>
      </c>
      <c r="B199" s="85" t="s">
        <v>2088</v>
      </c>
      <c r="C199" s="17" t="s">
        <v>116</v>
      </c>
      <c r="D199" s="6">
        <v>2.022010004549E12</v>
      </c>
      <c r="E199" s="6">
        <v>1.1242223116E10</v>
      </c>
      <c r="F199" s="6" t="s">
        <v>2165</v>
      </c>
      <c r="G199" s="6" t="s">
        <v>2166</v>
      </c>
      <c r="H199" s="6" t="s">
        <v>2167</v>
      </c>
      <c r="I199" s="6" t="s">
        <v>164</v>
      </c>
      <c r="J199" s="6" t="s">
        <v>2168</v>
      </c>
      <c r="K199" s="6" t="s">
        <v>2169</v>
      </c>
      <c r="L199" s="6">
        <v>6.239660082E9</v>
      </c>
      <c r="M199" s="6">
        <v>6.239660082E9</v>
      </c>
      <c r="N199" s="6">
        <v>6.239660082E9</v>
      </c>
      <c r="O199" s="23">
        <v>37994.0</v>
      </c>
      <c r="P199" s="6" t="s">
        <v>2170</v>
      </c>
      <c r="Q199" s="6" t="s">
        <v>2171</v>
      </c>
      <c r="R199" s="6" t="s">
        <v>2172</v>
      </c>
      <c r="S199" s="6" t="s">
        <v>136</v>
      </c>
      <c r="T199" s="6">
        <v>143416.0</v>
      </c>
      <c r="U199" s="6" t="s">
        <v>138</v>
      </c>
      <c r="V199" s="6" t="s">
        <v>140</v>
      </c>
      <c r="W199" s="6" t="s">
        <v>141</v>
      </c>
      <c r="X199" s="6" t="s">
        <v>143</v>
      </c>
      <c r="Y199" s="6" t="s">
        <v>251</v>
      </c>
      <c r="Z199" s="28"/>
      <c r="AA199" s="57" t="s">
        <v>2093</v>
      </c>
      <c r="AB199" s="28"/>
      <c r="AC199" s="28"/>
      <c r="AD199" s="7"/>
      <c r="AE199" s="7"/>
      <c r="AF199" s="7"/>
    </row>
    <row r="200">
      <c r="A200" s="15">
        <v>199.0</v>
      </c>
      <c r="B200" s="85" t="s">
        <v>2088</v>
      </c>
      <c r="C200" s="17" t="s">
        <v>116</v>
      </c>
      <c r="D200" s="6">
        <v>2.022010042568E12</v>
      </c>
      <c r="E200" s="6">
        <v>1.1242223117E10</v>
      </c>
      <c r="F200" s="6" t="s">
        <v>596</v>
      </c>
      <c r="G200" s="6" t="s">
        <v>2173</v>
      </c>
      <c r="H200" s="6" t="s">
        <v>2174</v>
      </c>
      <c r="I200" s="6" t="s">
        <v>126</v>
      </c>
      <c r="J200" s="6" t="s">
        <v>2175</v>
      </c>
      <c r="K200" s="6">
        <v>123456.0</v>
      </c>
      <c r="L200" s="6">
        <v>7.717569873E9</v>
      </c>
      <c r="M200" s="6">
        <v>9.988473301E9</v>
      </c>
      <c r="N200" s="6">
        <v>6.280480778E9</v>
      </c>
      <c r="O200" s="6" t="s">
        <v>2176</v>
      </c>
      <c r="P200" s="6" t="s">
        <v>2177</v>
      </c>
      <c r="Q200" s="6" t="s">
        <v>2178</v>
      </c>
      <c r="R200" s="6" t="s">
        <v>135</v>
      </c>
      <c r="S200" s="6" t="s">
        <v>136</v>
      </c>
      <c r="T200" s="6">
        <v>143001.0</v>
      </c>
      <c r="U200" s="6" t="s">
        <v>169</v>
      </c>
      <c r="V200" s="6" t="s">
        <v>187</v>
      </c>
      <c r="W200" s="6" t="s">
        <v>141</v>
      </c>
      <c r="X200" s="6" t="s">
        <v>229</v>
      </c>
      <c r="Y200" s="6" t="s">
        <v>251</v>
      </c>
      <c r="Z200" s="28"/>
      <c r="AA200" s="57" t="s">
        <v>2093</v>
      </c>
      <c r="AB200" s="28"/>
      <c r="AC200" s="28"/>
      <c r="AD200" s="7"/>
      <c r="AE200" s="7"/>
      <c r="AF200" s="7"/>
    </row>
    <row r="201">
      <c r="A201" s="15">
        <v>200.0</v>
      </c>
      <c r="B201" s="85" t="s">
        <v>2088</v>
      </c>
      <c r="C201" s="17" t="s">
        <v>116</v>
      </c>
      <c r="D201" s="6">
        <v>2.022010042641E12</v>
      </c>
      <c r="E201" s="6">
        <v>1.1242223118E10</v>
      </c>
      <c r="F201" s="6" t="s">
        <v>1432</v>
      </c>
      <c r="G201" s="6" t="s">
        <v>2179</v>
      </c>
      <c r="H201" s="6" t="s">
        <v>2167</v>
      </c>
      <c r="I201" s="6" t="s">
        <v>126</v>
      </c>
      <c r="J201" s="6" t="s">
        <v>2180</v>
      </c>
      <c r="K201" s="6">
        <v>123456.0</v>
      </c>
      <c r="L201" s="6">
        <v>9.878523648E9</v>
      </c>
      <c r="M201" s="6">
        <v>6.283058167E9</v>
      </c>
      <c r="N201" s="6">
        <v>8.360820326E9</v>
      </c>
      <c r="O201" s="6" t="s">
        <v>2181</v>
      </c>
      <c r="P201" s="6" t="s">
        <v>2182</v>
      </c>
      <c r="Q201" s="6" t="s">
        <v>2183</v>
      </c>
      <c r="R201" s="6" t="s">
        <v>135</v>
      </c>
      <c r="S201" s="6" t="s">
        <v>136</v>
      </c>
      <c r="T201" s="6">
        <v>143001.0</v>
      </c>
      <c r="U201" s="6" t="s">
        <v>138</v>
      </c>
      <c r="V201" s="6" t="s">
        <v>187</v>
      </c>
      <c r="W201" s="6" t="s">
        <v>141</v>
      </c>
      <c r="X201" s="6" t="s">
        <v>229</v>
      </c>
      <c r="Y201" s="6" t="s">
        <v>251</v>
      </c>
      <c r="Z201" s="28"/>
      <c r="AA201" s="57" t="s">
        <v>2093</v>
      </c>
      <c r="AB201" s="28"/>
      <c r="AC201" s="28"/>
      <c r="AD201" s="7"/>
      <c r="AE201" s="7"/>
      <c r="AF201" s="7"/>
    </row>
    <row r="202">
      <c r="A202" s="15">
        <v>201.0</v>
      </c>
      <c r="B202" s="85" t="s">
        <v>2088</v>
      </c>
      <c r="C202" s="17" t="s">
        <v>116</v>
      </c>
      <c r="D202" s="6">
        <v>2.022010042846E12</v>
      </c>
      <c r="E202" s="6">
        <v>1.1242223119E10</v>
      </c>
      <c r="F202" s="6" t="s">
        <v>2184</v>
      </c>
      <c r="G202" s="6" t="s">
        <v>886</v>
      </c>
      <c r="H202" s="6" t="s">
        <v>2185</v>
      </c>
      <c r="I202" s="6" t="s">
        <v>126</v>
      </c>
      <c r="J202" s="6" t="s">
        <v>2186</v>
      </c>
      <c r="K202" s="6">
        <v>123456.0</v>
      </c>
      <c r="L202" s="6">
        <v>7.986618107E9</v>
      </c>
      <c r="M202" s="6">
        <v>9.8979474E9</v>
      </c>
      <c r="N202" s="6">
        <v>9.417067179E9</v>
      </c>
      <c r="O202" s="6" t="s">
        <v>2187</v>
      </c>
      <c r="P202" s="6" t="s">
        <v>2188</v>
      </c>
      <c r="Q202" s="6" t="s">
        <v>2189</v>
      </c>
      <c r="R202" s="6" t="s">
        <v>2190</v>
      </c>
      <c r="S202" s="6" t="s">
        <v>136</v>
      </c>
      <c r="T202" s="6">
        <v>142001.0</v>
      </c>
      <c r="U202" s="6" t="s">
        <v>138</v>
      </c>
      <c r="V202" s="6" t="s">
        <v>187</v>
      </c>
      <c r="W202" s="6" t="s">
        <v>141</v>
      </c>
      <c r="X202" s="6" t="s">
        <v>143</v>
      </c>
      <c r="Y202" s="6" t="s">
        <v>251</v>
      </c>
      <c r="Z202" s="28"/>
      <c r="AA202" s="57" t="s">
        <v>2093</v>
      </c>
      <c r="AB202" s="28"/>
      <c r="AC202" s="28"/>
      <c r="AD202" s="7"/>
      <c r="AE202" s="7"/>
      <c r="AF202" s="7"/>
    </row>
    <row r="203">
      <c r="A203" s="15">
        <v>202.0</v>
      </c>
      <c r="B203" s="85" t="s">
        <v>2088</v>
      </c>
      <c r="C203" s="17" t="s">
        <v>116</v>
      </c>
      <c r="D203" s="6">
        <v>2.022010043016E12</v>
      </c>
      <c r="E203" s="6">
        <v>1.1242223121E10</v>
      </c>
      <c r="F203" s="6" t="s">
        <v>306</v>
      </c>
      <c r="G203" s="6" t="s">
        <v>2191</v>
      </c>
      <c r="H203" s="7"/>
      <c r="I203" s="6" t="s">
        <v>126</v>
      </c>
      <c r="J203" s="6" t="s">
        <v>2192</v>
      </c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57" t="s">
        <v>2093</v>
      </c>
      <c r="AB203" s="7"/>
      <c r="AC203" s="7"/>
      <c r="AD203" s="7"/>
      <c r="AE203" s="7"/>
      <c r="AF203" s="7"/>
    </row>
    <row r="204">
      <c r="A204" s="15">
        <v>203.0</v>
      </c>
      <c r="B204" s="85" t="s">
        <v>2088</v>
      </c>
      <c r="C204" s="17" t="s">
        <v>116</v>
      </c>
      <c r="D204" s="6">
        <v>2.022010043249E12</v>
      </c>
      <c r="E204" s="6">
        <v>1.1242223122E10</v>
      </c>
      <c r="F204" s="6" t="s">
        <v>259</v>
      </c>
      <c r="G204" s="6" t="s">
        <v>2193</v>
      </c>
      <c r="H204" s="6" t="s">
        <v>1783</v>
      </c>
      <c r="I204" s="6" t="s">
        <v>126</v>
      </c>
      <c r="J204" s="6" t="s">
        <v>2194</v>
      </c>
      <c r="K204" s="6">
        <v>123456.0</v>
      </c>
      <c r="L204" s="6">
        <v>9.877336772E9</v>
      </c>
      <c r="M204" s="6">
        <v>9.838884901E9</v>
      </c>
      <c r="N204" s="6">
        <v>9.814291863E9</v>
      </c>
      <c r="O204" s="6" t="s">
        <v>2195</v>
      </c>
      <c r="P204" s="6" t="s">
        <v>2196</v>
      </c>
      <c r="Q204" s="6" t="s">
        <v>2197</v>
      </c>
      <c r="R204" s="6" t="s">
        <v>135</v>
      </c>
      <c r="S204" s="6" t="s">
        <v>136</v>
      </c>
      <c r="T204" s="6">
        <v>143502.0</v>
      </c>
      <c r="U204" s="6" t="s">
        <v>138</v>
      </c>
      <c r="V204" s="6" t="s">
        <v>187</v>
      </c>
      <c r="W204" s="6" t="s">
        <v>141</v>
      </c>
      <c r="X204" s="6" t="s">
        <v>208</v>
      </c>
      <c r="Y204" s="6" t="s">
        <v>144</v>
      </c>
      <c r="Z204" s="28"/>
      <c r="AA204" s="57" t="s">
        <v>2093</v>
      </c>
      <c r="AB204" s="28"/>
      <c r="AC204" s="28"/>
      <c r="AD204" s="7"/>
      <c r="AE204" s="7"/>
      <c r="AF204" s="7"/>
    </row>
    <row r="205">
      <c r="A205" s="15">
        <v>204.0</v>
      </c>
      <c r="B205" s="85" t="s">
        <v>2088</v>
      </c>
      <c r="C205" s="17" t="s">
        <v>116</v>
      </c>
      <c r="D205" s="6">
        <v>2.022010044098E12</v>
      </c>
      <c r="E205" s="6">
        <v>1.1242223123E10</v>
      </c>
      <c r="F205" s="6" t="s">
        <v>2198</v>
      </c>
      <c r="G205" s="6" t="s">
        <v>1459</v>
      </c>
      <c r="H205" s="6" t="s">
        <v>668</v>
      </c>
      <c r="I205" s="6" t="s">
        <v>126</v>
      </c>
      <c r="J205" s="6" t="s">
        <v>2199</v>
      </c>
      <c r="K205" s="6">
        <v>123456.0</v>
      </c>
      <c r="L205" s="6">
        <v>6.239005268E9</v>
      </c>
      <c r="M205" s="6">
        <v>9.346710003E9</v>
      </c>
      <c r="N205" s="6">
        <v>9.914192231E9</v>
      </c>
      <c r="O205" s="23">
        <v>38634.0</v>
      </c>
      <c r="P205" s="6" t="s">
        <v>2200</v>
      </c>
      <c r="Q205" s="6" t="s">
        <v>2201</v>
      </c>
      <c r="R205" s="6" t="s">
        <v>2097</v>
      </c>
      <c r="S205" s="6" t="s">
        <v>136</v>
      </c>
      <c r="T205" s="6">
        <v>143112.0</v>
      </c>
      <c r="U205" s="6" t="s">
        <v>138</v>
      </c>
      <c r="V205" s="6" t="s">
        <v>187</v>
      </c>
      <c r="W205" s="6" t="s">
        <v>141</v>
      </c>
      <c r="X205" s="6" t="s">
        <v>143</v>
      </c>
      <c r="Y205" s="6" t="s">
        <v>144</v>
      </c>
      <c r="Z205" s="28"/>
      <c r="AA205" s="57" t="s">
        <v>2093</v>
      </c>
      <c r="AB205" s="28"/>
      <c r="AC205" s="28"/>
      <c r="AD205" s="7"/>
      <c r="AE205" s="7"/>
      <c r="AF205" s="7"/>
    </row>
    <row r="206">
      <c r="A206" s="15">
        <v>205.0</v>
      </c>
      <c r="B206" s="85" t="s">
        <v>2088</v>
      </c>
      <c r="C206" s="17" t="s">
        <v>116</v>
      </c>
      <c r="D206" s="6">
        <v>2.022010044193E12</v>
      </c>
      <c r="E206" s="6">
        <v>1.1242223126E10</v>
      </c>
      <c r="F206" s="6" t="s">
        <v>2202</v>
      </c>
      <c r="G206" s="6" t="s">
        <v>2203</v>
      </c>
      <c r="H206" s="6" t="s">
        <v>1142</v>
      </c>
      <c r="I206" s="6" t="s">
        <v>164</v>
      </c>
      <c r="J206" s="6" t="s">
        <v>2204</v>
      </c>
      <c r="K206" s="6">
        <v>123456.0</v>
      </c>
      <c r="L206" s="6">
        <v>8.427276668E9</v>
      </c>
      <c r="M206" s="6">
        <v>9.646019E8</v>
      </c>
      <c r="N206" s="6">
        <v>9.877834475E9</v>
      </c>
      <c r="O206" s="32">
        <v>38206.0</v>
      </c>
      <c r="P206" s="6" t="s">
        <v>2205</v>
      </c>
      <c r="Q206" s="6" t="s">
        <v>2206</v>
      </c>
      <c r="R206" s="6" t="s">
        <v>135</v>
      </c>
      <c r="S206" s="6" t="s">
        <v>136</v>
      </c>
      <c r="T206" s="30" t="s">
        <v>1745</v>
      </c>
      <c r="U206" s="6" t="s">
        <v>169</v>
      </c>
      <c r="V206" s="6" t="s">
        <v>66</v>
      </c>
      <c r="W206" s="6" t="s">
        <v>141</v>
      </c>
      <c r="X206" s="6" t="s">
        <v>2207</v>
      </c>
      <c r="Y206" s="6" t="s">
        <v>251</v>
      </c>
      <c r="Z206" s="7"/>
      <c r="AA206" s="57" t="s">
        <v>2093</v>
      </c>
      <c r="AB206" s="7"/>
      <c r="AC206" s="7"/>
      <c r="AD206" s="7"/>
      <c r="AE206" s="7"/>
      <c r="AF206" s="30" t="s">
        <v>2208</v>
      </c>
    </row>
    <row r="207">
      <c r="A207" s="15">
        <v>206.0</v>
      </c>
      <c r="B207" s="85" t="s">
        <v>2088</v>
      </c>
      <c r="C207" s="17" t="s">
        <v>116</v>
      </c>
      <c r="D207" s="6">
        <v>2.022010044203E12</v>
      </c>
      <c r="E207" s="6">
        <v>1.1242223127E10</v>
      </c>
      <c r="F207" s="6" t="s">
        <v>2209</v>
      </c>
      <c r="G207" s="6" t="s">
        <v>2210</v>
      </c>
      <c r="H207" s="6" t="s">
        <v>685</v>
      </c>
      <c r="I207" s="6" t="s">
        <v>164</v>
      </c>
      <c r="J207" s="6" t="s">
        <v>2211</v>
      </c>
      <c r="K207" s="6">
        <v>123456.0</v>
      </c>
      <c r="L207" s="6">
        <v>8.360326632E9</v>
      </c>
      <c r="M207" s="6">
        <v>9.417956307E9</v>
      </c>
      <c r="N207" s="6">
        <v>9.8036676E9</v>
      </c>
      <c r="O207" s="23">
        <v>38241.0</v>
      </c>
      <c r="P207" s="6" t="s">
        <v>2212</v>
      </c>
      <c r="Q207" s="6" t="s">
        <v>2213</v>
      </c>
      <c r="R207" s="6" t="s">
        <v>437</v>
      </c>
      <c r="S207" s="6" t="s">
        <v>136</v>
      </c>
      <c r="T207" s="6">
        <v>143401.0</v>
      </c>
      <c r="U207" s="6" t="s">
        <v>169</v>
      </c>
      <c r="V207" s="6" t="s">
        <v>140</v>
      </c>
      <c r="W207" s="6" t="s">
        <v>141</v>
      </c>
      <c r="X207" s="6" t="s">
        <v>965</v>
      </c>
      <c r="Y207" s="6" t="s">
        <v>144</v>
      </c>
      <c r="Z207" s="28"/>
      <c r="AA207" s="57" t="s">
        <v>2093</v>
      </c>
      <c r="AB207" s="28"/>
      <c r="AC207" s="28"/>
      <c r="AD207" s="7"/>
      <c r="AE207" s="7"/>
      <c r="AF207" s="7"/>
    </row>
    <row r="208">
      <c r="A208" s="15">
        <v>207.0</v>
      </c>
      <c r="B208" s="85" t="s">
        <v>2088</v>
      </c>
      <c r="C208" s="17" t="s">
        <v>116</v>
      </c>
      <c r="D208" s="6">
        <v>2.022010044259E12</v>
      </c>
      <c r="E208" s="6">
        <v>1.1242223129E10</v>
      </c>
      <c r="F208" s="6" t="s">
        <v>2214</v>
      </c>
      <c r="G208" s="6" t="s">
        <v>2215</v>
      </c>
      <c r="H208" s="6" t="s">
        <v>2216</v>
      </c>
      <c r="I208" s="6" t="s">
        <v>126</v>
      </c>
      <c r="J208" s="6" t="s">
        <v>2217</v>
      </c>
      <c r="K208" s="6">
        <v>1.2345678E7</v>
      </c>
      <c r="L208" s="6">
        <v>8.427939641E9</v>
      </c>
      <c r="M208" s="6">
        <v>9.815133641E9</v>
      </c>
      <c r="N208" s="6">
        <v>8.729062942E9</v>
      </c>
      <c r="O208" s="23">
        <v>37992.0</v>
      </c>
      <c r="P208" s="6" t="s">
        <v>2218</v>
      </c>
      <c r="Q208" s="6" t="s">
        <v>2219</v>
      </c>
      <c r="R208" s="6" t="s">
        <v>135</v>
      </c>
      <c r="S208" s="6" t="s">
        <v>136</v>
      </c>
      <c r="T208" s="6">
        <v>143001.0</v>
      </c>
      <c r="U208" s="6" t="s">
        <v>169</v>
      </c>
      <c r="V208" s="6" t="s">
        <v>187</v>
      </c>
      <c r="W208" s="6" t="s">
        <v>141</v>
      </c>
      <c r="X208" s="6" t="s">
        <v>143</v>
      </c>
      <c r="Y208" s="6" t="s">
        <v>251</v>
      </c>
      <c r="Z208" s="28"/>
      <c r="AA208" s="57" t="s">
        <v>2093</v>
      </c>
      <c r="AB208" s="28"/>
      <c r="AC208" s="28"/>
      <c r="AD208" s="7"/>
      <c r="AE208" s="7"/>
      <c r="AF208" s="7"/>
    </row>
    <row r="209">
      <c r="A209" s="15">
        <v>208.0</v>
      </c>
      <c r="B209" s="85" t="s">
        <v>2088</v>
      </c>
      <c r="C209" s="17" t="s">
        <v>116</v>
      </c>
      <c r="D209" s="6">
        <v>2.02201000516E12</v>
      </c>
      <c r="E209" s="6">
        <v>1.124222313E10</v>
      </c>
      <c r="F209" s="6" t="s">
        <v>2220</v>
      </c>
      <c r="G209" s="6" t="s">
        <v>2022</v>
      </c>
      <c r="H209" s="6" t="s">
        <v>2221</v>
      </c>
      <c r="I209" s="6" t="s">
        <v>126</v>
      </c>
      <c r="J209" s="6" t="s">
        <v>2222</v>
      </c>
      <c r="K209" s="30" t="s">
        <v>291</v>
      </c>
      <c r="L209" s="6">
        <v>8.837862479E9</v>
      </c>
      <c r="M209" s="6">
        <v>7.837607052E9</v>
      </c>
      <c r="N209" s="6">
        <v>7.837607052E9</v>
      </c>
      <c r="O209" s="32">
        <v>37925.0</v>
      </c>
      <c r="P209" s="6" t="s">
        <v>2223</v>
      </c>
      <c r="Q209" s="6" t="s">
        <v>2224</v>
      </c>
      <c r="R209" s="6" t="s">
        <v>609</v>
      </c>
      <c r="S209" s="6" t="s">
        <v>136</v>
      </c>
      <c r="T209" s="30" t="s">
        <v>1964</v>
      </c>
      <c r="U209" s="6" t="s">
        <v>169</v>
      </c>
      <c r="V209" s="6" t="s">
        <v>156</v>
      </c>
      <c r="W209" s="6" t="s">
        <v>141</v>
      </c>
      <c r="X209" s="6" t="s">
        <v>250</v>
      </c>
      <c r="Y209" s="6" t="s">
        <v>1627</v>
      </c>
      <c r="Z209" s="7"/>
      <c r="AA209" s="57" t="s">
        <v>2093</v>
      </c>
      <c r="AB209" s="7"/>
      <c r="AC209" s="7"/>
      <c r="AD209" s="7"/>
      <c r="AE209" s="7"/>
      <c r="AF209" s="30" t="s">
        <v>2225</v>
      </c>
    </row>
    <row r="210">
      <c r="A210" s="15">
        <v>209.0</v>
      </c>
      <c r="B210" s="85" t="s">
        <v>2088</v>
      </c>
      <c r="C210" s="17" t="s">
        <v>116</v>
      </c>
      <c r="D210" s="6">
        <v>2.022010005768E12</v>
      </c>
      <c r="E210" s="6">
        <v>1.1242223131E10</v>
      </c>
      <c r="F210" s="6" t="s">
        <v>694</v>
      </c>
      <c r="G210" s="6" t="s">
        <v>2226</v>
      </c>
      <c r="H210" s="6" t="s">
        <v>2227</v>
      </c>
      <c r="I210" s="6" t="s">
        <v>164</v>
      </c>
      <c r="J210" s="6" t="s">
        <v>2228</v>
      </c>
      <c r="K210" s="6" t="s">
        <v>2229</v>
      </c>
      <c r="L210" s="6">
        <v>8.544926577E9</v>
      </c>
      <c r="M210" s="6">
        <v>9.855131477E9</v>
      </c>
      <c r="N210" s="6">
        <v>7.888937037E9</v>
      </c>
      <c r="O210" s="6" t="s">
        <v>2230</v>
      </c>
      <c r="P210" s="6" t="s">
        <v>2231</v>
      </c>
      <c r="Q210" s="6" t="s">
        <v>2232</v>
      </c>
      <c r="R210" s="6" t="s">
        <v>135</v>
      </c>
      <c r="S210" s="6" t="s">
        <v>136</v>
      </c>
      <c r="T210" s="6">
        <v>143102.0</v>
      </c>
      <c r="U210" s="6" t="s">
        <v>138</v>
      </c>
      <c r="V210" s="6" t="s">
        <v>140</v>
      </c>
      <c r="W210" s="6" t="s">
        <v>141</v>
      </c>
      <c r="X210" s="6" t="s">
        <v>143</v>
      </c>
      <c r="Y210" s="6" t="s">
        <v>144</v>
      </c>
      <c r="Z210" s="28"/>
      <c r="AA210" s="57" t="s">
        <v>2093</v>
      </c>
      <c r="AB210" s="28"/>
      <c r="AC210" s="28"/>
      <c r="AD210" s="7"/>
      <c r="AE210" s="7"/>
      <c r="AF210" s="7"/>
    </row>
    <row r="211">
      <c r="A211" s="15">
        <v>210.0</v>
      </c>
      <c r="B211" s="85" t="s">
        <v>2088</v>
      </c>
      <c r="C211" s="17" t="s">
        <v>116</v>
      </c>
      <c r="D211" s="6">
        <v>2.022010007436E12</v>
      </c>
      <c r="E211" s="6">
        <v>1.1242223132E10</v>
      </c>
      <c r="F211" s="6" t="s">
        <v>2233</v>
      </c>
      <c r="G211" s="6" t="s">
        <v>2234</v>
      </c>
      <c r="H211" s="6" t="s">
        <v>2235</v>
      </c>
      <c r="I211" s="6" t="s">
        <v>126</v>
      </c>
      <c r="J211" s="6" t="s">
        <v>2236</v>
      </c>
      <c r="K211" s="6">
        <v>123456.0</v>
      </c>
      <c r="L211" s="6">
        <v>7.814740811E9</v>
      </c>
      <c r="M211" s="6">
        <v>7.986297719E9</v>
      </c>
      <c r="N211" s="55"/>
      <c r="O211" s="23">
        <v>37931.0</v>
      </c>
      <c r="P211" s="6" t="s">
        <v>2237</v>
      </c>
      <c r="Q211" s="6" t="s">
        <v>2238</v>
      </c>
      <c r="R211" s="6" t="s">
        <v>135</v>
      </c>
      <c r="S211" s="6" t="s">
        <v>136</v>
      </c>
      <c r="T211" s="6">
        <v>143001.0</v>
      </c>
      <c r="U211" s="6" t="s">
        <v>169</v>
      </c>
      <c r="V211" s="6" t="s">
        <v>187</v>
      </c>
      <c r="W211" s="6" t="s">
        <v>141</v>
      </c>
      <c r="X211" s="6" t="s">
        <v>143</v>
      </c>
      <c r="Y211" s="6" t="s">
        <v>251</v>
      </c>
      <c r="Z211" s="28"/>
      <c r="AA211" s="57" t="s">
        <v>2093</v>
      </c>
      <c r="AB211" s="28"/>
      <c r="AC211" s="28"/>
      <c r="AD211" s="7"/>
      <c r="AE211" s="7"/>
      <c r="AF211" s="7"/>
    </row>
    <row r="212">
      <c r="A212" s="15">
        <v>211.0</v>
      </c>
      <c r="B212" s="85" t="s">
        <v>2088</v>
      </c>
      <c r="C212" s="17" t="s">
        <v>116</v>
      </c>
      <c r="D212" s="6">
        <v>2.022010007759E12</v>
      </c>
      <c r="E212" s="6">
        <v>1.1242223133E10</v>
      </c>
      <c r="F212" s="6" t="s">
        <v>2239</v>
      </c>
      <c r="G212" s="6" t="s">
        <v>2240</v>
      </c>
      <c r="H212" s="6" t="s">
        <v>2241</v>
      </c>
      <c r="I212" s="6" t="s">
        <v>164</v>
      </c>
      <c r="J212" s="6" t="s">
        <v>2242</v>
      </c>
      <c r="K212" s="6" t="s">
        <v>2243</v>
      </c>
      <c r="L212" s="6">
        <v>8.558983244E9</v>
      </c>
      <c r="M212" s="6">
        <v>9.915025009E9</v>
      </c>
      <c r="N212" s="6">
        <v>9.815384558E9</v>
      </c>
      <c r="O212" s="6" t="s">
        <v>2244</v>
      </c>
      <c r="P212" s="6" t="s">
        <v>2245</v>
      </c>
      <c r="Q212" s="6" t="s">
        <v>2246</v>
      </c>
      <c r="R212" s="6" t="s">
        <v>135</v>
      </c>
      <c r="S212" s="6" t="s">
        <v>136</v>
      </c>
      <c r="T212" s="6">
        <v>143001.0</v>
      </c>
      <c r="U212" s="6" t="s">
        <v>169</v>
      </c>
      <c r="V212" s="6" t="s">
        <v>140</v>
      </c>
      <c r="W212" s="6" t="s">
        <v>141</v>
      </c>
      <c r="X212" s="6" t="s">
        <v>208</v>
      </c>
      <c r="Y212" s="6" t="s">
        <v>251</v>
      </c>
      <c r="Z212" s="28"/>
      <c r="AA212" s="57" t="s">
        <v>2093</v>
      </c>
      <c r="AB212" s="28"/>
      <c r="AC212" s="28"/>
      <c r="AD212" s="7"/>
      <c r="AE212" s="7"/>
      <c r="AF212" s="7"/>
    </row>
    <row r="213">
      <c r="A213" s="15">
        <v>212.0</v>
      </c>
      <c r="B213" s="85" t="s">
        <v>2088</v>
      </c>
      <c r="C213" s="17" t="s">
        <v>116</v>
      </c>
      <c r="D213" s="6">
        <v>2.022010009275E12</v>
      </c>
      <c r="E213" s="6">
        <v>1.1242223134E10</v>
      </c>
      <c r="F213" s="6" t="s">
        <v>1661</v>
      </c>
      <c r="G213" s="6" t="s">
        <v>1363</v>
      </c>
      <c r="H213" s="6" t="s">
        <v>2247</v>
      </c>
      <c r="I213" s="6" t="s">
        <v>126</v>
      </c>
      <c r="J213" s="6" t="s">
        <v>2248</v>
      </c>
      <c r="K213" s="30" t="s">
        <v>291</v>
      </c>
      <c r="L213" s="6">
        <v>7.087690568E9</v>
      </c>
      <c r="M213" s="6">
        <v>8.872321373E9</v>
      </c>
      <c r="N213" s="6">
        <v>8.872321373E9</v>
      </c>
      <c r="O213" s="32">
        <v>38209.0</v>
      </c>
      <c r="P213" s="6" t="s">
        <v>2249</v>
      </c>
      <c r="Q213" s="6" t="s">
        <v>2250</v>
      </c>
      <c r="R213" s="6" t="s">
        <v>855</v>
      </c>
      <c r="S213" s="6" t="s">
        <v>136</v>
      </c>
      <c r="T213" s="30" t="s">
        <v>2251</v>
      </c>
      <c r="U213" s="6" t="s">
        <v>138</v>
      </c>
      <c r="V213" s="6" t="s">
        <v>156</v>
      </c>
      <c r="W213" s="6" t="s">
        <v>141</v>
      </c>
      <c r="X213" s="6" t="s">
        <v>188</v>
      </c>
      <c r="Y213" s="6" t="s">
        <v>144</v>
      </c>
      <c r="Z213" s="6" t="s">
        <v>80</v>
      </c>
      <c r="AA213" s="57" t="s">
        <v>2093</v>
      </c>
      <c r="AB213" s="7"/>
      <c r="AC213" s="7"/>
      <c r="AD213" s="7"/>
      <c r="AE213" s="7"/>
      <c r="AF213" s="30" t="s">
        <v>2252</v>
      </c>
    </row>
    <row r="214">
      <c r="A214" s="15">
        <v>213.0</v>
      </c>
      <c r="B214" s="85" t="s">
        <v>2088</v>
      </c>
      <c r="C214" s="17" t="s">
        <v>116</v>
      </c>
      <c r="D214" s="6">
        <v>2.022010045846E12</v>
      </c>
      <c r="E214" s="6">
        <v>1.1242223136E10</v>
      </c>
      <c r="F214" s="6" t="s">
        <v>2253</v>
      </c>
      <c r="G214" s="6" t="s">
        <v>603</v>
      </c>
      <c r="H214" s="6" t="s">
        <v>2247</v>
      </c>
      <c r="I214" s="6" t="s">
        <v>126</v>
      </c>
      <c r="J214" s="6" t="s">
        <v>2254</v>
      </c>
      <c r="K214" s="6">
        <v>123456.0</v>
      </c>
      <c r="L214" s="6">
        <v>9.501485122E9</v>
      </c>
      <c r="M214" s="6">
        <v>9.056752681E9</v>
      </c>
      <c r="N214" s="6">
        <v>9.501836243E9</v>
      </c>
      <c r="O214" s="23">
        <v>38087.0</v>
      </c>
      <c r="P214" s="6" t="s">
        <v>2255</v>
      </c>
      <c r="Q214" s="6" t="s">
        <v>2256</v>
      </c>
      <c r="R214" s="6" t="s">
        <v>135</v>
      </c>
      <c r="S214" s="6" t="s">
        <v>136</v>
      </c>
      <c r="T214" s="6">
        <v>143115.0</v>
      </c>
      <c r="U214" s="6" t="s">
        <v>138</v>
      </c>
      <c r="V214" s="6" t="s">
        <v>187</v>
      </c>
      <c r="W214" s="6" t="s">
        <v>141</v>
      </c>
      <c r="X214" s="6" t="s">
        <v>208</v>
      </c>
      <c r="Y214" s="6" t="s">
        <v>144</v>
      </c>
      <c r="Z214" s="28"/>
      <c r="AA214" s="57" t="s">
        <v>2093</v>
      </c>
      <c r="AB214" s="28"/>
      <c r="AC214" s="28"/>
      <c r="AD214" s="7"/>
      <c r="AE214" s="7"/>
      <c r="AF214" s="7"/>
    </row>
    <row r="215">
      <c r="A215" s="15">
        <v>214.0</v>
      </c>
      <c r="B215" s="85" t="s">
        <v>2088</v>
      </c>
      <c r="C215" s="17" t="s">
        <v>116</v>
      </c>
      <c r="D215" s="6">
        <v>2.022010045874E12</v>
      </c>
      <c r="E215" s="6">
        <v>1.1242223137E10</v>
      </c>
      <c r="F215" s="6" t="s">
        <v>259</v>
      </c>
      <c r="G215" s="6" t="s">
        <v>2257</v>
      </c>
      <c r="H215" s="6" t="s">
        <v>604</v>
      </c>
      <c r="I215" s="6" t="s">
        <v>126</v>
      </c>
      <c r="J215" s="6" t="s">
        <v>2258</v>
      </c>
      <c r="K215" s="6">
        <v>123456.0</v>
      </c>
      <c r="L215" s="6">
        <v>6.284174017E9</v>
      </c>
      <c r="M215" s="6">
        <v>8.727808467E9</v>
      </c>
      <c r="N215" s="55"/>
      <c r="O215" s="23">
        <v>38108.0</v>
      </c>
      <c r="P215" s="6" t="s">
        <v>2259</v>
      </c>
      <c r="Q215" s="6" t="s">
        <v>2260</v>
      </c>
      <c r="R215" s="6" t="s">
        <v>135</v>
      </c>
      <c r="S215" s="6" t="s">
        <v>136</v>
      </c>
      <c r="T215" s="6">
        <v>143504.0</v>
      </c>
      <c r="U215" s="6" t="s">
        <v>138</v>
      </c>
      <c r="V215" s="6" t="s">
        <v>187</v>
      </c>
      <c r="W215" s="6" t="s">
        <v>141</v>
      </c>
      <c r="X215" s="6" t="s">
        <v>208</v>
      </c>
      <c r="Y215" s="6" t="s">
        <v>144</v>
      </c>
      <c r="Z215" s="28"/>
      <c r="AA215" s="57" t="s">
        <v>2093</v>
      </c>
      <c r="AB215" s="28"/>
      <c r="AC215" s="28"/>
      <c r="AD215" s="7"/>
      <c r="AE215" s="7"/>
      <c r="AF215" s="7"/>
    </row>
    <row r="216">
      <c r="A216" s="15">
        <v>215.0</v>
      </c>
      <c r="B216" s="85" t="s">
        <v>2088</v>
      </c>
      <c r="C216" s="17" t="s">
        <v>116</v>
      </c>
      <c r="D216" s="6">
        <v>2.022010046077E12</v>
      </c>
      <c r="E216" s="6">
        <v>1.1242223139E10</v>
      </c>
      <c r="F216" s="6" t="s">
        <v>2261</v>
      </c>
      <c r="G216" s="6" t="s">
        <v>2262</v>
      </c>
      <c r="H216" s="6" t="s">
        <v>2263</v>
      </c>
      <c r="I216" s="6" t="s">
        <v>164</v>
      </c>
      <c r="J216" s="6" t="s">
        <v>2264</v>
      </c>
      <c r="K216" s="6">
        <v>123456.0</v>
      </c>
      <c r="L216" s="6">
        <v>6.239730224E9</v>
      </c>
      <c r="M216" s="6">
        <v>6.283629093E9</v>
      </c>
      <c r="N216" s="6">
        <v>7.985134968E9</v>
      </c>
      <c r="O216" s="6" t="s">
        <v>2265</v>
      </c>
      <c r="P216" s="6" t="s">
        <v>2266</v>
      </c>
      <c r="Q216" s="6" t="s">
        <v>2267</v>
      </c>
      <c r="R216" s="6" t="s">
        <v>437</v>
      </c>
      <c r="S216" s="6" t="s">
        <v>136</v>
      </c>
      <c r="T216" s="6">
        <v>143401.0</v>
      </c>
      <c r="U216" s="6" t="s">
        <v>138</v>
      </c>
      <c r="V216" s="6" t="s">
        <v>140</v>
      </c>
      <c r="W216" s="6" t="s">
        <v>141</v>
      </c>
      <c r="X216" s="6" t="s">
        <v>229</v>
      </c>
      <c r="Y216" s="6" t="s">
        <v>144</v>
      </c>
      <c r="Z216" s="28"/>
      <c r="AA216" s="57" t="s">
        <v>2093</v>
      </c>
      <c r="AB216" s="28"/>
      <c r="AC216" s="28"/>
      <c r="AD216" s="7"/>
      <c r="AE216" s="7"/>
      <c r="AF216" s="7"/>
    </row>
    <row r="217">
      <c r="A217" s="15">
        <v>216.0</v>
      </c>
      <c r="B217" s="85" t="s">
        <v>2088</v>
      </c>
      <c r="C217" s="17" t="s">
        <v>116</v>
      </c>
      <c r="D217" s="6">
        <v>2.022010046242E12</v>
      </c>
      <c r="E217" s="6">
        <v>1.124222314E10</v>
      </c>
      <c r="F217" s="6" t="s">
        <v>2268</v>
      </c>
      <c r="G217" s="6" t="s">
        <v>2269</v>
      </c>
      <c r="H217" s="6" t="s">
        <v>1226</v>
      </c>
      <c r="I217" s="6" t="s">
        <v>126</v>
      </c>
      <c r="J217" s="6" t="s">
        <v>2270</v>
      </c>
      <c r="K217" s="6">
        <v>123456.0</v>
      </c>
      <c r="L217" s="6">
        <v>9.878396871E9</v>
      </c>
      <c r="M217" s="6">
        <v>9.878396871E9</v>
      </c>
      <c r="N217" s="6">
        <v>9.878396871E9</v>
      </c>
      <c r="O217" s="23">
        <v>37692.0</v>
      </c>
      <c r="P217" s="6" t="s">
        <v>2271</v>
      </c>
      <c r="Q217" s="6" t="s">
        <v>2272</v>
      </c>
      <c r="R217" s="6" t="s">
        <v>135</v>
      </c>
      <c r="S217" s="6" t="s">
        <v>136</v>
      </c>
      <c r="T217" s="6">
        <v>143105.0</v>
      </c>
      <c r="U217" s="6" t="s">
        <v>169</v>
      </c>
      <c r="V217" s="6" t="s">
        <v>156</v>
      </c>
      <c r="W217" s="6" t="s">
        <v>141</v>
      </c>
      <c r="X217" s="6" t="s">
        <v>506</v>
      </c>
      <c r="Y217" s="6" t="s">
        <v>251</v>
      </c>
      <c r="Z217" s="28"/>
      <c r="AA217" s="57" t="s">
        <v>2093</v>
      </c>
      <c r="AB217" s="28"/>
      <c r="AC217" s="28"/>
      <c r="AD217" s="7"/>
      <c r="AE217" s="7"/>
      <c r="AF217" s="30" t="s">
        <v>2273</v>
      </c>
    </row>
    <row r="218">
      <c r="A218" s="15">
        <v>217.0</v>
      </c>
      <c r="B218" s="85" t="s">
        <v>2088</v>
      </c>
      <c r="C218" s="17" t="s">
        <v>116</v>
      </c>
      <c r="D218" s="6">
        <v>2.022010046245E12</v>
      </c>
      <c r="E218" s="6">
        <v>1.1242223141E10</v>
      </c>
      <c r="F218" s="6" t="s">
        <v>488</v>
      </c>
      <c r="G218" s="6" t="s">
        <v>695</v>
      </c>
      <c r="H218" s="7"/>
      <c r="I218" s="6" t="s">
        <v>126</v>
      </c>
      <c r="J218" s="6" t="s">
        <v>2274</v>
      </c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57" t="s">
        <v>2093</v>
      </c>
      <c r="AB218" s="7"/>
      <c r="AC218" s="7"/>
      <c r="AD218" s="7"/>
      <c r="AE218" s="7"/>
      <c r="AF218" s="7"/>
    </row>
    <row r="219">
      <c r="A219" s="15">
        <v>218.0</v>
      </c>
      <c r="B219" s="85" t="s">
        <v>2088</v>
      </c>
      <c r="C219" s="17" t="s">
        <v>116</v>
      </c>
      <c r="D219" s="6">
        <v>2.022010046263E12</v>
      </c>
      <c r="E219" s="6">
        <v>1.1242223142E10</v>
      </c>
      <c r="F219" s="6" t="s">
        <v>2275</v>
      </c>
      <c r="G219" s="6" t="s">
        <v>711</v>
      </c>
      <c r="H219" s="6" t="s">
        <v>2276</v>
      </c>
      <c r="I219" s="6" t="s">
        <v>126</v>
      </c>
      <c r="J219" s="6" t="s">
        <v>2277</v>
      </c>
      <c r="K219" s="6">
        <v>123456.0</v>
      </c>
      <c r="L219" s="6">
        <v>7.69645749E9</v>
      </c>
      <c r="M219" s="6">
        <v>9.803071056E9</v>
      </c>
      <c r="N219" s="6">
        <v>7.550630009E9</v>
      </c>
      <c r="O219" s="6" t="s">
        <v>2278</v>
      </c>
      <c r="P219" s="6" t="s">
        <v>2279</v>
      </c>
      <c r="Q219" s="6" t="s">
        <v>2280</v>
      </c>
      <c r="R219" s="6" t="s">
        <v>135</v>
      </c>
      <c r="S219" s="6" t="s">
        <v>136</v>
      </c>
      <c r="T219" s="6">
        <v>143115.0</v>
      </c>
      <c r="U219" s="6" t="s">
        <v>321</v>
      </c>
      <c r="V219" s="6" t="s">
        <v>187</v>
      </c>
      <c r="W219" s="6" t="s">
        <v>141</v>
      </c>
      <c r="X219" s="6" t="s">
        <v>965</v>
      </c>
      <c r="Y219" s="6" t="s">
        <v>144</v>
      </c>
      <c r="Z219" s="28"/>
      <c r="AA219" s="57" t="s">
        <v>2093</v>
      </c>
      <c r="AB219" s="28"/>
      <c r="AC219" s="28"/>
      <c r="AD219" s="7"/>
      <c r="AE219" s="7"/>
      <c r="AF219" s="7"/>
    </row>
    <row r="220">
      <c r="A220" s="15">
        <v>219.0</v>
      </c>
      <c r="B220" s="85" t="s">
        <v>2088</v>
      </c>
      <c r="C220" s="17" t="s">
        <v>116</v>
      </c>
      <c r="D220" s="6">
        <v>2.022010046271E12</v>
      </c>
      <c r="E220" s="6">
        <v>1.1242223143E10</v>
      </c>
      <c r="F220" s="6" t="s">
        <v>710</v>
      </c>
      <c r="G220" s="6" t="s">
        <v>2156</v>
      </c>
      <c r="H220" s="6" t="s">
        <v>2281</v>
      </c>
      <c r="I220" s="6" t="s">
        <v>126</v>
      </c>
      <c r="J220" s="6" t="s">
        <v>2282</v>
      </c>
      <c r="K220" s="6">
        <v>123456.0</v>
      </c>
      <c r="L220" s="6">
        <v>8.054612647E9</v>
      </c>
      <c r="M220" s="6">
        <v>9.779489828E9</v>
      </c>
      <c r="N220" s="6">
        <v>9.779489828E9</v>
      </c>
      <c r="O220" s="23">
        <v>38241.0</v>
      </c>
      <c r="P220" s="6" t="s">
        <v>2283</v>
      </c>
      <c r="Q220" s="6" t="s">
        <v>2284</v>
      </c>
      <c r="R220" s="6" t="s">
        <v>1722</v>
      </c>
      <c r="S220" s="6" t="s">
        <v>136</v>
      </c>
      <c r="T220" s="6">
        <v>143115.0</v>
      </c>
      <c r="U220" s="6" t="s">
        <v>138</v>
      </c>
      <c r="V220" s="6" t="s">
        <v>187</v>
      </c>
      <c r="W220" s="6" t="s">
        <v>141</v>
      </c>
      <c r="X220" s="6" t="s">
        <v>229</v>
      </c>
      <c r="Y220" s="6" t="s">
        <v>144</v>
      </c>
      <c r="Z220" s="28"/>
      <c r="AA220" s="57" t="s">
        <v>2093</v>
      </c>
      <c r="AB220" s="28"/>
      <c r="AC220" s="28"/>
      <c r="AD220" s="7"/>
      <c r="AE220" s="7"/>
      <c r="AF220" s="7"/>
    </row>
    <row r="221">
      <c r="A221" s="15">
        <v>220.0</v>
      </c>
      <c r="B221" s="85" t="s">
        <v>2088</v>
      </c>
      <c r="C221" s="17" t="s">
        <v>116</v>
      </c>
      <c r="D221" s="6">
        <v>2.02201004653E12</v>
      </c>
      <c r="E221" s="6">
        <v>1.1242223147E10</v>
      </c>
      <c r="F221" s="6" t="s">
        <v>763</v>
      </c>
      <c r="G221" s="6" t="s">
        <v>2285</v>
      </c>
      <c r="H221" s="6" t="s">
        <v>2286</v>
      </c>
      <c r="I221" s="6" t="s">
        <v>126</v>
      </c>
      <c r="J221" s="6" t="s">
        <v>2287</v>
      </c>
      <c r="K221" s="6">
        <v>123456.0</v>
      </c>
      <c r="L221" s="6">
        <v>7.696463901E9</v>
      </c>
      <c r="M221" s="6">
        <v>7.051553941E9</v>
      </c>
      <c r="N221" s="6">
        <v>9.779688923E9</v>
      </c>
      <c r="O221" s="23">
        <v>37349.0</v>
      </c>
      <c r="P221" s="6" t="s">
        <v>2288</v>
      </c>
      <c r="Q221" s="6" t="s">
        <v>2289</v>
      </c>
      <c r="R221" s="6" t="s">
        <v>135</v>
      </c>
      <c r="S221" s="6" t="s">
        <v>136</v>
      </c>
      <c r="T221" s="6">
        <v>143112.0</v>
      </c>
      <c r="U221" s="6" t="s">
        <v>138</v>
      </c>
      <c r="V221" s="6" t="s">
        <v>187</v>
      </c>
      <c r="W221" s="6" t="s">
        <v>141</v>
      </c>
      <c r="X221" s="6" t="s">
        <v>229</v>
      </c>
      <c r="Y221" s="6" t="s">
        <v>144</v>
      </c>
      <c r="Z221" s="28"/>
      <c r="AA221" s="57" t="s">
        <v>2093</v>
      </c>
      <c r="AB221" s="28"/>
      <c r="AC221" s="28"/>
      <c r="AD221" s="7"/>
      <c r="AE221" s="7"/>
      <c r="AF221" s="7"/>
    </row>
    <row r="222">
      <c r="A222" s="15">
        <v>221.0</v>
      </c>
      <c r="B222" s="85" t="s">
        <v>2088</v>
      </c>
      <c r="C222" s="17" t="s">
        <v>116</v>
      </c>
      <c r="D222" s="6">
        <v>2.022010046574E12</v>
      </c>
      <c r="E222" s="6">
        <v>1.1242223148E10</v>
      </c>
      <c r="F222" s="6" t="s">
        <v>2290</v>
      </c>
      <c r="G222" s="6" t="s">
        <v>2291</v>
      </c>
      <c r="H222" s="6" t="s">
        <v>2292</v>
      </c>
      <c r="I222" s="6" t="s">
        <v>126</v>
      </c>
      <c r="J222" s="6" t="s">
        <v>2293</v>
      </c>
      <c r="K222" s="30" t="s">
        <v>291</v>
      </c>
      <c r="L222" s="6">
        <v>8.24698355E8</v>
      </c>
      <c r="M222" s="6">
        <v>6.280917782E9</v>
      </c>
      <c r="N222" s="6">
        <v>6.280917782E9</v>
      </c>
      <c r="O222" s="32">
        <v>34322.0</v>
      </c>
      <c r="P222" s="6" t="s">
        <v>2294</v>
      </c>
      <c r="Q222" s="6" t="s">
        <v>2295</v>
      </c>
      <c r="R222" s="6" t="s">
        <v>135</v>
      </c>
      <c r="S222" s="6" t="s">
        <v>136</v>
      </c>
      <c r="T222" s="30" t="s">
        <v>186</v>
      </c>
      <c r="U222" s="6" t="s">
        <v>169</v>
      </c>
      <c r="V222" s="6" t="s">
        <v>156</v>
      </c>
      <c r="W222" s="6" t="s">
        <v>141</v>
      </c>
      <c r="X222" s="6" t="s">
        <v>2296</v>
      </c>
      <c r="Y222" s="6" t="s">
        <v>251</v>
      </c>
      <c r="Z222" s="7"/>
      <c r="AA222" s="57" t="s">
        <v>2093</v>
      </c>
      <c r="AB222" s="7"/>
      <c r="AC222" s="7"/>
      <c r="AD222" s="7"/>
      <c r="AE222" s="7"/>
      <c r="AF222" s="30" t="s">
        <v>2297</v>
      </c>
    </row>
    <row r="223">
      <c r="A223" s="15">
        <v>222.0</v>
      </c>
      <c r="B223" s="85" t="s">
        <v>2088</v>
      </c>
      <c r="C223" s="17" t="s">
        <v>116</v>
      </c>
      <c r="D223" s="6">
        <v>2.022010047542E12</v>
      </c>
      <c r="E223" s="6">
        <v>1.1242223149E10</v>
      </c>
      <c r="F223" s="6" t="s">
        <v>2298</v>
      </c>
      <c r="G223" s="6" t="s">
        <v>2299</v>
      </c>
      <c r="H223" s="6" t="s">
        <v>628</v>
      </c>
      <c r="I223" s="6" t="s">
        <v>164</v>
      </c>
      <c r="J223" s="6" t="s">
        <v>2300</v>
      </c>
      <c r="K223" s="6">
        <v>123456.0</v>
      </c>
      <c r="L223" s="6">
        <v>9.872934814E9</v>
      </c>
      <c r="M223" s="6">
        <v>9.914023678E9</v>
      </c>
      <c r="N223" s="6">
        <v>9.877734814E9</v>
      </c>
      <c r="O223" s="6" t="s">
        <v>2301</v>
      </c>
      <c r="P223" s="6" t="s">
        <v>2302</v>
      </c>
      <c r="Q223" s="6" t="s">
        <v>2303</v>
      </c>
      <c r="R223" s="6" t="s">
        <v>2304</v>
      </c>
      <c r="S223" s="6" t="s">
        <v>136</v>
      </c>
      <c r="T223" s="6">
        <v>143112.0</v>
      </c>
      <c r="U223" s="6" t="s">
        <v>138</v>
      </c>
      <c r="V223" s="6" t="s">
        <v>140</v>
      </c>
      <c r="W223" s="6" t="s">
        <v>141</v>
      </c>
      <c r="X223" s="6" t="s">
        <v>208</v>
      </c>
      <c r="Y223" s="6" t="s">
        <v>144</v>
      </c>
      <c r="Z223" s="28"/>
      <c r="AA223" s="57" t="s">
        <v>2093</v>
      </c>
      <c r="AB223" s="28"/>
      <c r="AC223" s="28"/>
      <c r="AD223" s="7"/>
      <c r="AE223" s="7"/>
      <c r="AF223" s="7"/>
    </row>
    <row r="224">
      <c r="A224" s="15">
        <v>223.0</v>
      </c>
      <c r="B224" s="85" t="s">
        <v>2088</v>
      </c>
      <c r="C224" s="17" t="s">
        <v>116</v>
      </c>
      <c r="D224" s="6">
        <v>2.022010047545E12</v>
      </c>
      <c r="E224" s="6">
        <v>1.124222315E10</v>
      </c>
      <c r="F224" s="6" t="s">
        <v>2305</v>
      </c>
      <c r="G224" s="6" t="s">
        <v>2306</v>
      </c>
      <c r="H224" s="6" t="s">
        <v>2307</v>
      </c>
      <c r="I224" s="6" t="s">
        <v>126</v>
      </c>
      <c r="J224" s="6" t="s">
        <v>2308</v>
      </c>
      <c r="K224" s="30" t="s">
        <v>291</v>
      </c>
      <c r="L224" s="6">
        <v>8.567884863E9</v>
      </c>
      <c r="M224" s="6">
        <v>8.847471452E9</v>
      </c>
      <c r="N224" s="6">
        <v>8.847471452E9</v>
      </c>
      <c r="O224" s="32">
        <v>37307.0</v>
      </c>
      <c r="P224" s="6" t="s">
        <v>2309</v>
      </c>
      <c r="Q224" s="6" t="s">
        <v>2310</v>
      </c>
      <c r="R224" s="6" t="s">
        <v>2311</v>
      </c>
      <c r="S224" s="6" t="s">
        <v>296</v>
      </c>
      <c r="T224" s="30" t="s">
        <v>2312</v>
      </c>
      <c r="U224" s="6" t="s">
        <v>169</v>
      </c>
      <c r="V224" s="6" t="s">
        <v>66</v>
      </c>
      <c r="W224" s="6" t="s">
        <v>141</v>
      </c>
      <c r="X224" s="6" t="s">
        <v>718</v>
      </c>
      <c r="Y224" s="6" t="s">
        <v>251</v>
      </c>
      <c r="Z224" s="7"/>
      <c r="AA224" s="57" t="s">
        <v>2093</v>
      </c>
      <c r="AB224" s="7"/>
      <c r="AC224" s="7"/>
      <c r="AD224" s="7"/>
      <c r="AE224" s="7"/>
      <c r="AF224" s="30" t="s">
        <v>2313</v>
      </c>
    </row>
    <row r="225">
      <c r="A225" s="15">
        <v>224.0</v>
      </c>
      <c r="B225" s="85" t="s">
        <v>2088</v>
      </c>
      <c r="C225" s="17" t="s">
        <v>116</v>
      </c>
      <c r="D225" s="6">
        <v>2.022010047551E12</v>
      </c>
      <c r="E225" s="6">
        <v>1.1242223152E10</v>
      </c>
      <c r="F225" s="6" t="s">
        <v>2314</v>
      </c>
      <c r="G225" s="6" t="s">
        <v>2315</v>
      </c>
      <c r="H225" s="6" t="s">
        <v>2316</v>
      </c>
      <c r="I225" s="6" t="s">
        <v>164</v>
      </c>
      <c r="J225" s="6" t="s">
        <v>2317</v>
      </c>
      <c r="K225" s="6">
        <v>123456.0</v>
      </c>
      <c r="L225" s="6">
        <v>7.696241342E9</v>
      </c>
      <c r="M225" s="6">
        <v>8.360202524E9</v>
      </c>
      <c r="N225" s="6">
        <v>7.009310034E9</v>
      </c>
      <c r="O225" s="23">
        <v>38412.0</v>
      </c>
      <c r="P225" s="6" t="s">
        <v>2318</v>
      </c>
      <c r="Q225" s="6" t="s">
        <v>2319</v>
      </c>
      <c r="R225" s="6" t="s">
        <v>1635</v>
      </c>
      <c r="S225" s="6" t="s">
        <v>136</v>
      </c>
      <c r="T225" s="6">
        <v>144024.0</v>
      </c>
      <c r="U225" s="6" t="s">
        <v>169</v>
      </c>
      <c r="V225" s="6" t="s">
        <v>140</v>
      </c>
      <c r="W225" s="6" t="s">
        <v>141</v>
      </c>
      <c r="X225" s="6" t="s">
        <v>143</v>
      </c>
      <c r="Y225" s="6" t="s">
        <v>251</v>
      </c>
      <c r="Z225" s="28"/>
      <c r="AA225" s="57" t="s">
        <v>2093</v>
      </c>
      <c r="AB225" s="28"/>
      <c r="AC225" s="28"/>
      <c r="AD225" s="7"/>
      <c r="AE225" s="7"/>
      <c r="AF225" s="7"/>
    </row>
    <row r="226">
      <c r="A226" s="15">
        <v>225.0</v>
      </c>
      <c r="B226" s="85" t="s">
        <v>2088</v>
      </c>
      <c r="C226" s="17" t="s">
        <v>116</v>
      </c>
      <c r="D226" s="6">
        <v>2.022010047602E12</v>
      </c>
      <c r="E226" s="6">
        <v>1.1242223155E10</v>
      </c>
      <c r="F226" s="6" t="s">
        <v>1096</v>
      </c>
      <c r="G226" s="6" t="s">
        <v>318</v>
      </c>
      <c r="H226" s="6" t="s">
        <v>2320</v>
      </c>
      <c r="I226" s="6" t="s">
        <v>126</v>
      </c>
      <c r="J226" s="6" t="s">
        <v>2321</v>
      </c>
      <c r="K226" s="6">
        <v>123456.0</v>
      </c>
      <c r="L226" s="6">
        <v>8.55600462E9</v>
      </c>
      <c r="M226" s="6">
        <v>8.55600462E9</v>
      </c>
      <c r="N226" s="6">
        <v>8.55600462E9</v>
      </c>
      <c r="O226" s="23">
        <v>37510.0</v>
      </c>
      <c r="P226" s="6" t="s">
        <v>2322</v>
      </c>
      <c r="Q226" s="6" t="s">
        <v>2323</v>
      </c>
      <c r="R226" s="6" t="s">
        <v>135</v>
      </c>
      <c r="S226" s="6" t="s">
        <v>136</v>
      </c>
      <c r="T226" s="6">
        <v>143001.0</v>
      </c>
      <c r="U226" s="6" t="s">
        <v>138</v>
      </c>
      <c r="V226" s="6" t="s">
        <v>187</v>
      </c>
      <c r="W226" s="6" t="s">
        <v>141</v>
      </c>
      <c r="X226" s="6" t="s">
        <v>965</v>
      </c>
      <c r="Y226" s="6" t="s">
        <v>144</v>
      </c>
      <c r="Z226" s="28"/>
      <c r="AA226" s="57" t="s">
        <v>2093</v>
      </c>
      <c r="AB226" s="28"/>
      <c r="AC226" s="28"/>
      <c r="AD226" s="7"/>
      <c r="AE226" s="7"/>
      <c r="AF226" s="7"/>
    </row>
    <row r="227">
      <c r="A227" s="15">
        <v>226.0</v>
      </c>
      <c r="B227" s="85" t="s">
        <v>2088</v>
      </c>
      <c r="C227" s="17" t="s">
        <v>116</v>
      </c>
      <c r="D227" s="6">
        <v>2.022010047607E12</v>
      </c>
      <c r="E227" s="6">
        <v>1.1242223156E10</v>
      </c>
      <c r="F227" s="6" t="s">
        <v>218</v>
      </c>
      <c r="G227" s="6" t="s">
        <v>2324</v>
      </c>
      <c r="H227" s="6" t="s">
        <v>2325</v>
      </c>
      <c r="I227" s="6" t="s">
        <v>164</v>
      </c>
      <c r="J227" s="6" t="s">
        <v>2326</v>
      </c>
      <c r="K227" s="6">
        <v>123456.0</v>
      </c>
      <c r="L227" s="6">
        <v>9.779613851E9</v>
      </c>
      <c r="M227" s="6">
        <v>9.501939124E9</v>
      </c>
      <c r="N227" s="6">
        <v>8.544926577E9</v>
      </c>
      <c r="O227" s="23">
        <v>32264.0</v>
      </c>
      <c r="P227" s="6" t="s">
        <v>2327</v>
      </c>
      <c r="Q227" s="6" t="s">
        <v>2328</v>
      </c>
      <c r="R227" s="6" t="s">
        <v>2304</v>
      </c>
      <c r="S227" s="6" t="s">
        <v>136</v>
      </c>
      <c r="T227" s="6">
        <v>143202.0</v>
      </c>
      <c r="U227" s="6" t="s">
        <v>138</v>
      </c>
      <c r="V227" s="6" t="s">
        <v>140</v>
      </c>
      <c r="W227" s="6" t="s">
        <v>1746</v>
      </c>
      <c r="X227" s="6" t="s">
        <v>143</v>
      </c>
      <c r="Y227" s="6" t="s">
        <v>144</v>
      </c>
      <c r="Z227" s="28"/>
      <c r="AA227" s="57" t="s">
        <v>2093</v>
      </c>
      <c r="AB227" s="28"/>
      <c r="AC227" s="28"/>
      <c r="AD227" s="7"/>
      <c r="AE227" s="7"/>
      <c r="AF227" s="7"/>
    </row>
    <row r="228">
      <c r="A228" s="15">
        <v>227.0</v>
      </c>
      <c r="B228" s="85" t="s">
        <v>2088</v>
      </c>
      <c r="C228" s="17" t="s">
        <v>116</v>
      </c>
      <c r="D228" s="6">
        <v>2.022010047811E12</v>
      </c>
      <c r="E228" s="6">
        <v>1.1242223159E10</v>
      </c>
      <c r="F228" s="6" t="s">
        <v>2329</v>
      </c>
      <c r="G228" s="6" t="s">
        <v>2330</v>
      </c>
      <c r="H228" s="6" t="s">
        <v>2331</v>
      </c>
      <c r="I228" s="6" t="s">
        <v>164</v>
      </c>
      <c r="J228" s="6" t="s">
        <v>2332</v>
      </c>
      <c r="K228" s="30" t="s">
        <v>291</v>
      </c>
      <c r="L228" s="6">
        <v>8.054056256E9</v>
      </c>
      <c r="M228" s="6">
        <v>9.814474371E9</v>
      </c>
      <c r="N228" s="6">
        <v>8.36006699E9</v>
      </c>
      <c r="O228" s="32">
        <v>38041.0</v>
      </c>
      <c r="P228" s="6" t="s">
        <v>2333</v>
      </c>
      <c r="Q228" s="6" t="s">
        <v>2334</v>
      </c>
      <c r="R228" s="6" t="s">
        <v>135</v>
      </c>
      <c r="S228" s="6" t="s">
        <v>136</v>
      </c>
      <c r="T228" s="30" t="s">
        <v>186</v>
      </c>
      <c r="U228" s="6" t="s">
        <v>169</v>
      </c>
      <c r="V228" s="6" t="s">
        <v>66</v>
      </c>
      <c r="W228" s="6" t="s">
        <v>141</v>
      </c>
      <c r="X228" s="6" t="s">
        <v>188</v>
      </c>
      <c r="Y228" s="6" t="s">
        <v>251</v>
      </c>
      <c r="Z228" s="7"/>
      <c r="AA228" s="57" t="s">
        <v>2093</v>
      </c>
      <c r="AB228" s="7"/>
      <c r="AC228" s="7"/>
      <c r="AD228" s="7"/>
      <c r="AE228" s="7"/>
      <c r="AF228" s="30" t="s">
        <v>2335</v>
      </c>
    </row>
    <row r="229">
      <c r="A229" s="15">
        <v>228.0</v>
      </c>
      <c r="B229" s="85" t="s">
        <v>2088</v>
      </c>
      <c r="C229" s="17" t="s">
        <v>116</v>
      </c>
      <c r="D229" s="6">
        <v>2.022010047866E12</v>
      </c>
      <c r="E229" s="6">
        <v>1.124222316E10</v>
      </c>
      <c r="F229" s="6" t="s">
        <v>2336</v>
      </c>
      <c r="G229" s="6" t="s">
        <v>2337</v>
      </c>
      <c r="H229" s="6" t="s">
        <v>2338</v>
      </c>
      <c r="I229" s="6" t="s">
        <v>126</v>
      </c>
      <c r="J229" s="6" t="s">
        <v>2339</v>
      </c>
      <c r="K229" s="6">
        <v>123456.0</v>
      </c>
      <c r="L229" s="6">
        <v>6.284602499E9</v>
      </c>
      <c r="M229" s="6">
        <v>9.855006987E9</v>
      </c>
      <c r="N229" s="6">
        <v>9.59221088E9</v>
      </c>
      <c r="O229" s="6" t="s">
        <v>2340</v>
      </c>
      <c r="P229" s="6" t="s">
        <v>2341</v>
      </c>
      <c r="Q229" s="6" t="s">
        <v>2342</v>
      </c>
      <c r="R229" s="6" t="s">
        <v>595</v>
      </c>
      <c r="S229" s="6" t="s">
        <v>136</v>
      </c>
      <c r="T229" s="6">
        <v>152001.0</v>
      </c>
      <c r="U229" s="6" t="s">
        <v>321</v>
      </c>
      <c r="V229" s="6" t="s">
        <v>187</v>
      </c>
      <c r="W229" s="6" t="s">
        <v>141</v>
      </c>
      <c r="X229" s="6" t="s">
        <v>143</v>
      </c>
      <c r="Y229" s="6" t="s">
        <v>144</v>
      </c>
      <c r="Z229" s="28"/>
      <c r="AA229" s="57" t="s">
        <v>2093</v>
      </c>
      <c r="AB229" s="28"/>
      <c r="AC229" s="28"/>
      <c r="AD229" s="7"/>
      <c r="AE229" s="7"/>
      <c r="AF229" s="7"/>
    </row>
    <row r="230">
      <c r="A230" s="15">
        <v>229.0</v>
      </c>
      <c r="B230" s="85" t="s">
        <v>2088</v>
      </c>
      <c r="C230" s="17" t="s">
        <v>116</v>
      </c>
      <c r="D230" s="6">
        <v>2.022010047894E12</v>
      </c>
      <c r="E230" s="6">
        <v>1.1242223161E10</v>
      </c>
      <c r="F230" s="6" t="s">
        <v>2343</v>
      </c>
      <c r="G230" s="6" t="s">
        <v>772</v>
      </c>
      <c r="H230" s="6" t="s">
        <v>808</v>
      </c>
      <c r="I230" s="6" t="s">
        <v>126</v>
      </c>
      <c r="J230" s="6" t="s">
        <v>2344</v>
      </c>
      <c r="K230" s="6">
        <v>123456.0</v>
      </c>
      <c r="L230" s="6">
        <v>7.986350664E9</v>
      </c>
      <c r="M230" s="6">
        <v>8.195804946E9</v>
      </c>
      <c r="N230" s="6">
        <v>8.195804946E9</v>
      </c>
      <c r="O230" s="6" t="s">
        <v>2345</v>
      </c>
      <c r="P230" s="6" t="s">
        <v>2346</v>
      </c>
      <c r="Q230" s="6" t="s">
        <v>2347</v>
      </c>
      <c r="R230" s="6" t="s">
        <v>135</v>
      </c>
      <c r="S230" s="6" t="s">
        <v>136</v>
      </c>
      <c r="T230" s="6">
        <v>143117.0</v>
      </c>
      <c r="U230" s="6" t="s">
        <v>138</v>
      </c>
      <c r="V230" s="6" t="s">
        <v>187</v>
      </c>
      <c r="W230" s="6" t="s">
        <v>141</v>
      </c>
      <c r="X230" s="6" t="s">
        <v>143</v>
      </c>
      <c r="Y230" s="6" t="s">
        <v>144</v>
      </c>
      <c r="Z230" s="28"/>
      <c r="AA230" s="57" t="s">
        <v>2093</v>
      </c>
      <c r="AB230" s="28"/>
      <c r="AC230" s="28"/>
      <c r="AD230" s="7"/>
      <c r="AE230" s="7"/>
      <c r="AF230" s="7"/>
    </row>
    <row r="231">
      <c r="A231" s="15">
        <v>230.0</v>
      </c>
      <c r="B231" s="85" t="s">
        <v>2088</v>
      </c>
      <c r="C231" s="17" t="s">
        <v>116</v>
      </c>
      <c r="D231" s="6">
        <v>2.022010048542E12</v>
      </c>
      <c r="E231" s="6">
        <v>1.1242223166E10</v>
      </c>
      <c r="F231" s="6" t="s">
        <v>571</v>
      </c>
      <c r="G231" s="6" t="s">
        <v>2348</v>
      </c>
      <c r="H231" s="6" t="s">
        <v>757</v>
      </c>
      <c r="I231" s="6" t="s">
        <v>126</v>
      </c>
      <c r="J231" s="6" t="s">
        <v>2349</v>
      </c>
      <c r="K231" s="6">
        <v>123456.0</v>
      </c>
      <c r="L231" s="6">
        <v>6.280291627E9</v>
      </c>
      <c r="M231" s="6">
        <v>9.814491309E9</v>
      </c>
      <c r="N231" s="6">
        <v>6.283210292E9</v>
      </c>
      <c r="O231" s="6" t="s">
        <v>2350</v>
      </c>
      <c r="P231" s="6" t="s">
        <v>2351</v>
      </c>
      <c r="Q231" s="6" t="s">
        <v>2352</v>
      </c>
      <c r="R231" s="6" t="s">
        <v>135</v>
      </c>
      <c r="S231" s="6" t="s">
        <v>136</v>
      </c>
      <c r="T231" s="6">
        <v>143001.0</v>
      </c>
      <c r="U231" s="6" t="s">
        <v>138</v>
      </c>
      <c r="V231" s="6" t="s">
        <v>187</v>
      </c>
      <c r="W231" s="6" t="s">
        <v>141</v>
      </c>
      <c r="X231" s="6" t="s">
        <v>229</v>
      </c>
      <c r="Y231" s="6" t="s">
        <v>144</v>
      </c>
      <c r="Z231" s="28"/>
      <c r="AA231" s="57" t="s">
        <v>2093</v>
      </c>
      <c r="AB231" s="28"/>
      <c r="AC231" s="28"/>
      <c r="AD231" s="7"/>
      <c r="AE231" s="7"/>
      <c r="AF231" s="7"/>
    </row>
    <row r="232">
      <c r="A232" s="15">
        <v>231.0</v>
      </c>
      <c r="B232" s="85" t="s">
        <v>2088</v>
      </c>
      <c r="C232" s="17" t="s">
        <v>116</v>
      </c>
      <c r="D232" s="6">
        <v>2.022010048712E12</v>
      </c>
      <c r="E232" s="6">
        <v>1.1242223168E10</v>
      </c>
      <c r="F232" s="6" t="s">
        <v>121</v>
      </c>
      <c r="G232" s="6" t="s">
        <v>179</v>
      </c>
      <c r="H232" s="6" t="s">
        <v>2353</v>
      </c>
      <c r="I232" s="6" t="s">
        <v>164</v>
      </c>
      <c r="J232" s="6" t="s">
        <v>2354</v>
      </c>
      <c r="K232" s="6">
        <v>123456.0</v>
      </c>
      <c r="L232" s="6">
        <v>9.592349582E9</v>
      </c>
      <c r="M232" s="6">
        <v>7.973697577E9</v>
      </c>
      <c r="N232" s="55" t="str">
        <f>+91 88378 01025</f>
        <v>#ERROR!</v>
      </c>
      <c r="O232" s="6" t="s">
        <v>2355</v>
      </c>
      <c r="P232" s="6" t="s">
        <v>2356</v>
      </c>
      <c r="Q232" s="6" t="s">
        <v>2357</v>
      </c>
      <c r="R232" s="6" t="s">
        <v>135</v>
      </c>
      <c r="S232" s="6" t="s">
        <v>136</v>
      </c>
      <c r="T232" s="6">
        <v>143001.0</v>
      </c>
      <c r="U232" s="6" t="s">
        <v>138</v>
      </c>
      <c r="V232" s="6" t="s">
        <v>140</v>
      </c>
      <c r="W232" s="6" t="s">
        <v>141</v>
      </c>
      <c r="X232" s="6" t="s">
        <v>229</v>
      </c>
      <c r="Y232" s="6" t="s">
        <v>144</v>
      </c>
      <c r="Z232" s="28"/>
      <c r="AA232" s="57" t="s">
        <v>2093</v>
      </c>
      <c r="AB232" s="28"/>
      <c r="AC232" s="28"/>
      <c r="AD232" s="7"/>
      <c r="AE232" s="7"/>
      <c r="AF232" s="7"/>
    </row>
    <row r="233">
      <c r="A233" s="15">
        <v>232.0</v>
      </c>
      <c r="B233" s="85" t="s">
        <v>2088</v>
      </c>
      <c r="C233" s="17" t="s">
        <v>116</v>
      </c>
      <c r="D233" s="6">
        <v>2.022010044398E12</v>
      </c>
      <c r="E233" s="6">
        <v>1.1242223172E10</v>
      </c>
      <c r="F233" s="6" t="s">
        <v>2358</v>
      </c>
      <c r="G233" s="6" t="s">
        <v>2359</v>
      </c>
      <c r="H233" s="6" t="s">
        <v>2360</v>
      </c>
      <c r="I233" s="6" t="s">
        <v>126</v>
      </c>
      <c r="J233" s="6" t="s">
        <v>2361</v>
      </c>
      <c r="K233" s="6">
        <v>123456.0</v>
      </c>
      <c r="L233" s="6">
        <v>9.906441256E9</v>
      </c>
      <c r="M233" s="6">
        <v>9.697659013E9</v>
      </c>
      <c r="N233" s="6">
        <v>6.00549143E9</v>
      </c>
      <c r="O233" s="32">
        <v>37960.0</v>
      </c>
      <c r="P233" s="6" t="s">
        <v>2362</v>
      </c>
      <c r="Q233" s="6" t="s">
        <v>2363</v>
      </c>
      <c r="R233" s="6" t="s">
        <v>2364</v>
      </c>
      <c r="S233" s="6" t="s">
        <v>1972</v>
      </c>
      <c r="T233" s="30" t="s">
        <v>2365</v>
      </c>
      <c r="U233" s="6" t="s">
        <v>169</v>
      </c>
      <c r="V233" s="6" t="s">
        <v>187</v>
      </c>
      <c r="W233" s="6" t="s">
        <v>141</v>
      </c>
      <c r="X233" s="6" t="s">
        <v>208</v>
      </c>
      <c r="Y233" s="6" t="s">
        <v>1983</v>
      </c>
      <c r="Z233" s="7"/>
      <c r="AA233" s="57" t="s">
        <v>2093</v>
      </c>
      <c r="AB233" s="7"/>
      <c r="AC233" s="7"/>
      <c r="AD233" s="7"/>
      <c r="AE233" s="7"/>
      <c r="AF233" s="30" t="s">
        <v>2366</v>
      </c>
    </row>
    <row r="234">
      <c r="A234" s="15">
        <v>233.0</v>
      </c>
      <c r="B234" s="85" t="s">
        <v>2088</v>
      </c>
      <c r="C234" s="17" t="s">
        <v>116</v>
      </c>
      <c r="D234" s="6">
        <v>2.02201004857E12</v>
      </c>
      <c r="E234" s="6">
        <v>1.1242223174E10</v>
      </c>
      <c r="F234" s="6" t="s">
        <v>2367</v>
      </c>
      <c r="G234" s="6" t="s">
        <v>2368</v>
      </c>
      <c r="H234" s="7"/>
      <c r="I234" s="6" t="s">
        <v>126</v>
      </c>
      <c r="J234" s="6" t="s">
        <v>2369</v>
      </c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57" t="s">
        <v>2093</v>
      </c>
      <c r="AB234" s="7"/>
      <c r="AC234" s="7"/>
      <c r="AD234" s="7"/>
      <c r="AE234" s="7"/>
      <c r="AF234" s="7"/>
    </row>
    <row r="235">
      <c r="A235" s="15">
        <v>234.0</v>
      </c>
      <c r="B235" s="85" t="s">
        <v>2088</v>
      </c>
      <c r="C235" s="17" t="s">
        <v>116</v>
      </c>
      <c r="D235" s="6">
        <v>2.022010047948E12</v>
      </c>
      <c r="E235" s="6">
        <v>1.1242223175E10</v>
      </c>
      <c r="F235" s="6" t="s">
        <v>2370</v>
      </c>
      <c r="G235" s="6" t="s">
        <v>2371</v>
      </c>
      <c r="H235" s="6" t="s">
        <v>2372</v>
      </c>
      <c r="I235" s="6" t="s">
        <v>164</v>
      </c>
      <c r="J235" s="6" t="s">
        <v>2373</v>
      </c>
      <c r="K235" s="6">
        <v>123456.0</v>
      </c>
      <c r="L235" s="6">
        <v>8.492900605E9</v>
      </c>
      <c r="M235" s="6">
        <v>7.051850313E9</v>
      </c>
      <c r="N235" s="6">
        <v>8.492805063E9</v>
      </c>
      <c r="O235" s="6" t="s">
        <v>2374</v>
      </c>
      <c r="P235" s="6" t="s">
        <v>2375</v>
      </c>
      <c r="Q235" s="6" t="s">
        <v>2376</v>
      </c>
      <c r="R235" s="6" t="s">
        <v>2377</v>
      </c>
      <c r="S235" s="6" t="s">
        <v>1455</v>
      </c>
      <c r="T235" s="6">
        <v>182311.0</v>
      </c>
      <c r="U235" s="6" t="s">
        <v>169</v>
      </c>
      <c r="V235" s="6" t="s">
        <v>140</v>
      </c>
      <c r="W235" s="6" t="s">
        <v>141</v>
      </c>
      <c r="X235" s="6" t="s">
        <v>229</v>
      </c>
      <c r="Y235" s="6" t="s">
        <v>251</v>
      </c>
      <c r="Z235" s="28"/>
      <c r="AA235" s="57" t="s">
        <v>2093</v>
      </c>
      <c r="AB235" s="28"/>
      <c r="AC235" s="28"/>
      <c r="AD235" s="7"/>
      <c r="AE235" s="7"/>
      <c r="AF235" s="7"/>
    </row>
    <row r="236">
      <c r="A236" s="15">
        <v>235.0</v>
      </c>
      <c r="B236" s="85" t="s">
        <v>2088</v>
      </c>
      <c r="C236" s="17" t="s">
        <v>116</v>
      </c>
      <c r="D236" s="6">
        <v>2.022010047805E12</v>
      </c>
      <c r="E236" s="6">
        <v>1.1242223176E10</v>
      </c>
      <c r="F236" s="6" t="s">
        <v>2378</v>
      </c>
      <c r="G236" s="6" t="s">
        <v>318</v>
      </c>
      <c r="H236" s="6" t="s">
        <v>2379</v>
      </c>
      <c r="I236" s="6" t="s">
        <v>164</v>
      </c>
      <c r="J236" s="6" t="s">
        <v>2380</v>
      </c>
      <c r="K236" s="6">
        <v>123456.0</v>
      </c>
      <c r="L236" s="6">
        <v>8.49288816E9</v>
      </c>
      <c r="M236" s="6">
        <v>7.588030023E9</v>
      </c>
      <c r="N236" s="6">
        <v>7.051135704E9</v>
      </c>
      <c r="O236" s="6" t="s">
        <v>2381</v>
      </c>
      <c r="P236" s="6" t="s">
        <v>2382</v>
      </c>
      <c r="Q236" s="6" t="s">
        <v>2383</v>
      </c>
      <c r="R236" s="6" t="s">
        <v>1454</v>
      </c>
      <c r="S236" s="6" t="s">
        <v>1455</v>
      </c>
      <c r="T236" s="6">
        <v>181201.0</v>
      </c>
      <c r="U236" s="6" t="s">
        <v>169</v>
      </c>
      <c r="V236" s="6" t="s">
        <v>140</v>
      </c>
      <c r="W236" s="6" t="s">
        <v>141</v>
      </c>
      <c r="X236" s="6" t="s">
        <v>143</v>
      </c>
      <c r="Y236" s="6" t="s">
        <v>251</v>
      </c>
      <c r="Z236" s="28"/>
      <c r="AA236" s="57" t="s">
        <v>2093</v>
      </c>
      <c r="AB236" s="28"/>
      <c r="AC236" s="28"/>
      <c r="AD236" s="7"/>
      <c r="AE236" s="7"/>
      <c r="AF236" s="7"/>
    </row>
    <row r="237">
      <c r="A237" s="15">
        <v>236.0</v>
      </c>
      <c r="B237" s="85" t="s">
        <v>2088</v>
      </c>
      <c r="C237" s="17" t="s">
        <v>116</v>
      </c>
      <c r="D237" s="6">
        <v>2.022010046262E12</v>
      </c>
      <c r="E237" s="6">
        <v>1.1242223178E10</v>
      </c>
      <c r="F237" s="6" t="s">
        <v>2384</v>
      </c>
      <c r="G237" s="6" t="s">
        <v>2385</v>
      </c>
      <c r="H237" s="6" t="s">
        <v>2386</v>
      </c>
      <c r="I237" s="6" t="s">
        <v>164</v>
      </c>
      <c r="J237" s="6" t="s">
        <v>2387</v>
      </c>
      <c r="K237" s="6">
        <v>123456.0</v>
      </c>
      <c r="L237" s="6">
        <v>6.006818177E9</v>
      </c>
      <c r="M237" s="6">
        <v>8.825074585E9</v>
      </c>
      <c r="N237" s="6">
        <v>8.899477027E9</v>
      </c>
      <c r="O237" s="83">
        <v>38271.0</v>
      </c>
      <c r="P237" s="6" t="s">
        <v>2388</v>
      </c>
      <c r="Q237" s="6" t="s">
        <v>2079</v>
      </c>
      <c r="R237" s="6" t="s">
        <v>1454</v>
      </c>
      <c r="S237" s="6" t="s">
        <v>1455</v>
      </c>
      <c r="T237" s="6">
        <v>182311.0</v>
      </c>
      <c r="U237" s="6" t="s">
        <v>169</v>
      </c>
      <c r="V237" s="6" t="s">
        <v>140</v>
      </c>
      <c r="W237" s="6" t="s">
        <v>141</v>
      </c>
      <c r="X237" s="6" t="s">
        <v>208</v>
      </c>
      <c r="Y237" s="6" t="s">
        <v>251</v>
      </c>
      <c r="Z237" s="28"/>
      <c r="AA237" s="57" t="s">
        <v>2093</v>
      </c>
      <c r="AB237" s="28"/>
      <c r="AC237" s="28"/>
      <c r="AD237" s="7"/>
      <c r="AE237" s="7"/>
      <c r="AF237" s="7"/>
    </row>
    <row r="238">
      <c r="A238" s="15">
        <v>237.0</v>
      </c>
      <c r="B238" s="85" t="s">
        <v>2088</v>
      </c>
      <c r="C238" s="17" t="s">
        <v>116</v>
      </c>
      <c r="D238" s="6">
        <v>2.022010044505E12</v>
      </c>
      <c r="E238" s="6">
        <v>1.1242223179E10</v>
      </c>
      <c r="F238" s="6" t="s">
        <v>2389</v>
      </c>
      <c r="G238" s="6" t="s">
        <v>2390</v>
      </c>
      <c r="H238" s="6" t="s">
        <v>2391</v>
      </c>
      <c r="I238" s="6" t="s">
        <v>164</v>
      </c>
      <c r="J238" s="6" t="s">
        <v>2392</v>
      </c>
      <c r="K238" s="6">
        <v>123456.0</v>
      </c>
      <c r="L238" s="6">
        <v>6.283668381E9</v>
      </c>
      <c r="M238" s="6">
        <v>7.889598512E9</v>
      </c>
      <c r="N238" s="6">
        <v>9.62222826E9</v>
      </c>
      <c r="O238" s="6" t="s">
        <v>2393</v>
      </c>
      <c r="P238" s="6" t="s">
        <v>2394</v>
      </c>
      <c r="Q238" s="6" t="s">
        <v>2395</v>
      </c>
      <c r="R238" s="6" t="s">
        <v>2396</v>
      </c>
      <c r="S238" s="6" t="s">
        <v>1455</v>
      </c>
      <c r="T238" s="6">
        <v>193123.0</v>
      </c>
      <c r="U238" s="6" t="s">
        <v>138</v>
      </c>
      <c r="V238" s="6" t="s">
        <v>140</v>
      </c>
      <c r="W238" s="6" t="s">
        <v>141</v>
      </c>
      <c r="X238" s="6" t="s">
        <v>208</v>
      </c>
      <c r="Y238" s="6" t="s">
        <v>1983</v>
      </c>
      <c r="Z238" s="28"/>
      <c r="AA238" s="57" t="s">
        <v>2093</v>
      </c>
      <c r="AB238" s="28"/>
      <c r="AC238" s="28"/>
      <c r="AD238" s="7"/>
      <c r="AE238" s="7"/>
      <c r="AF238" s="7"/>
    </row>
    <row r="239">
      <c r="A239" s="15">
        <v>238.0</v>
      </c>
      <c r="B239" s="85" t="s">
        <v>2088</v>
      </c>
      <c r="C239" s="17" t="s">
        <v>116</v>
      </c>
      <c r="D239" s="6">
        <v>2.022010044519E12</v>
      </c>
      <c r="E239" s="6">
        <v>1.124222318E10</v>
      </c>
      <c r="F239" s="6" t="s">
        <v>2397</v>
      </c>
      <c r="G239" s="6" t="s">
        <v>2337</v>
      </c>
      <c r="H239" s="6" t="s">
        <v>2398</v>
      </c>
      <c r="I239" s="6" t="s">
        <v>126</v>
      </c>
      <c r="J239" s="6" t="s">
        <v>2399</v>
      </c>
      <c r="K239" s="6">
        <v>123456.0</v>
      </c>
      <c r="L239" s="6">
        <v>9.10312561E8</v>
      </c>
      <c r="M239" s="6">
        <v>9.906900897E9</v>
      </c>
      <c r="N239" s="6">
        <v>9.90690956E9</v>
      </c>
      <c r="O239" s="32">
        <v>37975.0</v>
      </c>
      <c r="P239" s="6" t="s">
        <v>2400</v>
      </c>
      <c r="Q239" s="6" t="s">
        <v>2401</v>
      </c>
      <c r="R239" s="6" t="s">
        <v>1971</v>
      </c>
      <c r="S239" s="6" t="s">
        <v>1972</v>
      </c>
      <c r="T239" s="30" t="s">
        <v>2402</v>
      </c>
      <c r="U239" s="6" t="s">
        <v>169</v>
      </c>
      <c r="V239" s="6" t="s">
        <v>187</v>
      </c>
      <c r="W239" s="6" t="s">
        <v>141</v>
      </c>
      <c r="X239" s="6" t="s">
        <v>506</v>
      </c>
      <c r="Y239" s="6" t="s">
        <v>144</v>
      </c>
      <c r="Z239" s="7"/>
      <c r="AA239" s="57" t="s">
        <v>2093</v>
      </c>
      <c r="AB239" s="7"/>
      <c r="AC239" s="7"/>
      <c r="AD239" s="7"/>
      <c r="AE239" s="7"/>
      <c r="AF239" s="30" t="s">
        <v>2403</v>
      </c>
    </row>
    <row r="240">
      <c r="A240" s="15">
        <v>239.0</v>
      </c>
      <c r="B240" s="85" t="s">
        <v>2088</v>
      </c>
      <c r="C240" s="17" t="s">
        <v>116</v>
      </c>
      <c r="D240" s="6">
        <v>2.02201004453E12</v>
      </c>
      <c r="E240" s="6">
        <v>1.1242223181E10</v>
      </c>
      <c r="F240" s="6" t="s">
        <v>2404</v>
      </c>
      <c r="G240" s="6" t="s">
        <v>2405</v>
      </c>
      <c r="H240" s="6" t="s">
        <v>2406</v>
      </c>
      <c r="I240" s="6" t="s">
        <v>126</v>
      </c>
      <c r="J240" s="6" t="s">
        <v>2407</v>
      </c>
      <c r="K240" s="6">
        <v>123456.0</v>
      </c>
      <c r="L240" s="6">
        <v>8.699271321E9</v>
      </c>
      <c r="M240" s="6">
        <v>7.006718557E9</v>
      </c>
      <c r="N240" s="6">
        <v>8.9207024E7</v>
      </c>
      <c r="O240" s="32">
        <v>38028.0</v>
      </c>
      <c r="P240" s="6" t="s">
        <v>2408</v>
      </c>
      <c r="Q240" s="6" t="s">
        <v>2409</v>
      </c>
      <c r="R240" s="6" t="s">
        <v>1454</v>
      </c>
      <c r="S240" s="6" t="s">
        <v>2410</v>
      </c>
      <c r="T240" s="30" t="s">
        <v>2411</v>
      </c>
      <c r="U240" s="6" t="s">
        <v>169</v>
      </c>
      <c r="V240" s="6" t="s">
        <v>187</v>
      </c>
      <c r="W240" s="6" t="s">
        <v>141</v>
      </c>
      <c r="X240" s="6" t="s">
        <v>143</v>
      </c>
      <c r="Y240" s="6" t="s">
        <v>251</v>
      </c>
      <c r="Z240" s="7"/>
      <c r="AA240" s="57" t="s">
        <v>2093</v>
      </c>
      <c r="AB240" s="7"/>
      <c r="AC240" s="7"/>
      <c r="AD240" s="7"/>
      <c r="AE240" s="7"/>
      <c r="AF240" s="30" t="s">
        <v>2412</v>
      </c>
    </row>
    <row r="241">
      <c r="A241" s="15">
        <v>240.0</v>
      </c>
      <c r="B241" s="85" t="s">
        <v>2088</v>
      </c>
      <c r="C241" s="17" t="s">
        <v>116</v>
      </c>
      <c r="D241" s="6">
        <v>2.022010044739E12</v>
      </c>
      <c r="E241" s="6">
        <v>1.1242223182E10</v>
      </c>
      <c r="F241" s="6" t="s">
        <v>2413</v>
      </c>
      <c r="G241" s="6" t="s">
        <v>2414</v>
      </c>
      <c r="H241" s="6" t="s">
        <v>2415</v>
      </c>
      <c r="I241" s="6" t="s">
        <v>126</v>
      </c>
      <c r="J241" s="6" t="s">
        <v>2416</v>
      </c>
      <c r="K241" s="6">
        <v>123456.0</v>
      </c>
      <c r="L241" s="6">
        <v>6.006529213E9</v>
      </c>
      <c r="M241" s="6">
        <v>9.906125509E9</v>
      </c>
      <c r="N241" s="6">
        <v>8.082383298E9</v>
      </c>
      <c r="O241" s="23">
        <v>38417.0</v>
      </c>
      <c r="P241" s="6" t="s">
        <v>2417</v>
      </c>
      <c r="Q241" s="6" t="s">
        <v>2418</v>
      </c>
      <c r="R241" s="6" t="s">
        <v>2377</v>
      </c>
      <c r="S241" s="6" t="s">
        <v>1455</v>
      </c>
      <c r="T241" s="6">
        <v>182311.0</v>
      </c>
      <c r="U241" s="6" t="s">
        <v>169</v>
      </c>
      <c r="V241" s="6" t="s">
        <v>187</v>
      </c>
      <c r="W241" s="6" t="s">
        <v>141</v>
      </c>
      <c r="X241" s="6" t="s">
        <v>143</v>
      </c>
      <c r="Y241" s="6" t="s">
        <v>251</v>
      </c>
      <c r="Z241" s="28"/>
      <c r="AA241" s="57" t="s">
        <v>2093</v>
      </c>
      <c r="AB241" s="28"/>
      <c r="AC241" s="28"/>
      <c r="AD241" s="7"/>
      <c r="AE241" s="7"/>
      <c r="AF241" s="7"/>
    </row>
    <row r="242">
      <c r="A242" s="15">
        <v>241.0</v>
      </c>
      <c r="B242" s="85" t="s">
        <v>2088</v>
      </c>
      <c r="C242" s="17" t="s">
        <v>116</v>
      </c>
      <c r="D242" s="6">
        <v>2.022010045378E12</v>
      </c>
      <c r="E242" s="6">
        <v>1.1242223184E10</v>
      </c>
      <c r="F242" s="6" t="s">
        <v>2419</v>
      </c>
      <c r="G242" s="6" t="s">
        <v>2420</v>
      </c>
      <c r="H242" s="6" t="s">
        <v>2421</v>
      </c>
      <c r="I242" s="6" t="s">
        <v>126</v>
      </c>
      <c r="J242" s="6" t="s">
        <v>2422</v>
      </c>
      <c r="K242" s="6">
        <v>123456.0</v>
      </c>
      <c r="L242" s="6">
        <v>6.005966969E9</v>
      </c>
      <c r="M242" s="6">
        <v>8.491959955E9</v>
      </c>
      <c r="N242" s="6" t="s">
        <v>2423</v>
      </c>
      <c r="O242" s="6" t="s">
        <v>2424</v>
      </c>
      <c r="P242" s="6" t="s">
        <v>2425</v>
      </c>
      <c r="Q242" s="6" t="s">
        <v>2426</v>
      </c>
      <c r="R242" s="6" t="s">
        <v>1454</v>
      </c>
      <c r="S242" s="6" t="s">
        <v>1455</v>
      </c>
      <c r="T242" s="6">
        <v>182311.0</v>
      </c>
      <c r="U242" s="6" t="s">
        <v>321</v>
      </c>
      <c r="V242" s="6" t="s">
        <v>187</v>
      </c>
      <c r="W242" s="6" t="s">
        <v>141</v>
      </c>
      <c r="X242" s="6" t="s">
        <v>143</v>
      </c>
      <c r="Y242" s="6" t="s">
        <v>251</v>
      </c>
      <c r="Z242" s="28"/>
      <c r="AA242" s="57" t="s">
        <v>2093</v>
      </c>
      <c r="AB242" s="28"/>
      <c r="AC242" s="28"/>
      <c r="AD242" s="7"/>
      <c r="AE242" s="7"/>
      <c r="AF242" s="7"/>
    </row>
    <row r="243">
      <c r="A243" s="15">
        <v>242.0</v>
      </c>
      <c r="B243" s="85" t="s">
        <v>2088</v>
      </c>
      <c r="C243" s="17" t="s">
        <v>116</v>
      </c>
      <c r="D243" s="6">
        <v>2.022010042434E12</v>
      </c>
      <c r="E243" s="6">
        <v>1.1242223185E10</v>
      </c>
      <c r="F243" s="6" t="s">
        <v>2427</v>
      </c>
      <c r="G243" s="6" t="s">
        <v>2428</v>
      </c>
      <c r="H243" s="6" t="s">
        <v>2429</v>
      </c>
      <c r="I243" s="6" t="s">
        <v>126</v>
      </c>
      <c r="J243" s="6" t="s">
        <v>2430</v>
      </c>
      <c r="K243" s="6">
        <v>123456.0</v>
      </c>
      <c r="L243" s="6">
        <v>7.051768761E9</v>
      </c>
      <c r="M243" s="6">
        <v>9.622268293E9</v>
      </c>
      <c r="N243" s="6">
        <v>8.899565784E9</v>
      </c>
      <c r="O243" s="32">
        <v>38218.0</v>
      </c>
      <c r="P243" s="6" t="s">
        <v>2431</v>
      </c>
      <c r="Q243" s="6" t="s">
        <v>2432</v>
      </c>
      <c r="R243" s="6" t="s">
        <v>1454</v>
      </c>
      <c r="S243" s="6" t="s">
        <v>1455</v>
      </c>
      <c r="T243" s="6">
        <v>181203.0</v>
      </c>
      <c r="U243" s="6" t="s">
        <v>169</v>
      </c>
      <c r="V243" s="6" t="s">
        <v>187</v>
      </c>
      <c r="W243" s="6" t="s">
        <v>141</v>
      </c>
      <c r="X243" s="6" t="s">
        <v>143</v>
      </c>
      <c r="Y243" s="6" t="s">
        <v>251</v>
      </c>
      <c r="Z243" s="28"/>
      <c r="AA243" s="57" t="s">
        <v>2093</v>
      </c>
      <c r="AB243" s="28"/>
      <c r="AC243" s="28"/>
      <c r="AD243" s="7"/>
      <c r="AE243" s="7"/>
      <c r="AF243" s="30" t="s">
        <v>2433</v>
      </c>
    </row>
    <row r="244">
      <c r="A244" s="15">
        <v>243.0</v>
      </c>
      <c r="B244" s="85" t="s">
        <v>2088</v>
      </c>
      <c r="C244" s="17" t="s">
        <v>116</v>
      </c>
      <c r="D244" s="6">
        <v>2.022010044296E12</v>
      </c>
      <c r="E244" s="6">
        <v>1.1242223186E10</v>
      </c>
      <c r="F244" s="6" t="s">
        <v>2434</v>
      </c>
      <c r="G244" s="6" t="s">
        <v>2435</v>
      </c>
      <c r="H244" s="6" t="s">
        <v>2436</v>
      </c>
      <c r="I244" s="6" t="s">
        <v>126</v>
      </c>
      <c r="J244" s="6" t="s">
        <v>2437</v>
      </c>
      <c r="K244" s="6">
        <v>123456.0</v>
      </c>
      <c r="L244" s="6">
        <v>9.906188898E9</v>
      </c>
      <c r="M244" s="6">
        <v>6.00518176E9</v>
      </c>
      <c r="N244" s="6">
        <v>8.08282211E9</v>
      </c>
      <c r="O244" s="32">
        <v>38268.0</v>
      </c>
      <c r="P244" s="6" t="s">
        <v>2438</v>
      </c>
      <c r="Q244" s="6" t="s">
        <v>2439</v>
      </c>
      <c r="R244" s="6" t="s">
        <v>1454</v>
      </c>
      <c r="S244" s="6" t="s">
        <v>1972</v>
      </c>
      <c r="T244" s="30" t="s">
        <v>2440</v>
      </c>
      <c r="U244" s="6" t="s">
        <v>169</v>
      </c>
      <c r="V244" s="6" t="s">
        <v>187</v>
      </c>
      <c r="W244" s="6" t="s">
        <v>141</v>
      </c>
      <c r="X244" s="6" t="s">
        <v>965</v>
      </c>
      <c r="Y244" s="6" t="s">
        <v>251</v>
      </c>
      <c r="Z244" s="7"/>
      <c r="AA244" s="57" t="s">
        <v>2093</v>
      </c>
      <c r="AB244" s="7"/>
      <c r="AC244" s="7"/>
      <c r="AD244" s="7"/>
      <c r="AE244" s="7"/>
      <c r="AF244" s="30" t="s">
        <v>2441</v>
      </c>
    </row>
    <row r="245">
      <c r="A245" s="15">
        <v>244.0</v>
      </c>
      <c r="B245" s="85" t="s">
        <v>2088</v>
      </c>
      <c r="C245" s="17" t="s">
        <v>116</v>
      </c>
      <c r="D245" s="6">
        <v>2.022010044355E12</v>
      </c>
      <c r="E245" s="6">
        <v>1.1242223187E10</v>
      </c>
      <c r="F245" s="6" t="s">
        <v>2442</v>
      </c>
      <c r="G245" s="6" t="s">
        <v>2443</v>
      </c>
      <c r="H245" s="6" t="s">
        <v>2444</v>
      </c>
      <c r="I245" s="6" t="s">
        <v>164</v>
      </c>
      <c r="J245" s="6" t="s">
        <v>2445</v>
      </c>
      <c r="K245" s="6">
        <v>123456.0</v>
      </c>
      <c r="L245" s="6">
        <v>6.00692885E9</v>
      </c>
      <c r="M245" s="6">
        <v>9.596600105E9</v>
      </c>
      <c r="N245" s="6">
        <v>9.596600105E9</v>
      </c>
      <c r="O245" s="23">
        <v>38235.0</v>
      </c>
      <c r="P245" s="6" t="s">
        <v>2446</v>
      </c>
      <c r="Q245" s="6" t="s">
        <v>2447</v>
      </c>
      <c r="R245" s="6" t="s">
        <v>2448</v>
      </c>
      <c r="S245" s="6" t="s">
        <v>1455</v>
      </c>
      <c r="T245" s="6">
        <v>184205.0</v>
      </c>
      <c r="U245" s="6" t="s">
        <v>169</v>
      </c>
      <c r="V245" s="6" t="s">
        <v>140</v>
      </c>
      <c r="W245" s="6" t="s">
        <v>141</v>
      </c>
      <c r="X245" s="6" t="s">
        <v>229</v>
      </c>
      <c r="Y245" s="6" t="s">
        <v>1627</v>
      </c>
      <c r="Z245" s="28"/>
      <c r="AA245" s="57" t="s">
        <v>2093</v>
      </c>
      <c r="AB245" s="28"/>
      <c r="AC245" s="28"/>
      <c r="AD245" s="7"/>
      <c r="AE245" s="7"/>
      <c r="AF245" s="7"/>
    </row>
    <row r="246">
      <c r="A246" s="15">
        <v>245.0</v>
      </c>
      <c r="B246" s="85" t="s">
        <v>2088</v>
      </c>
      <c r="C246" s="17" t="s">
        <v>116</v>
      </c>
      <c r="D246" s="6">
        <v>2.022010000643E12</v>
      </c>
      <c r="E246" s="6">
        <v>1.1242223189E10</v>
      </c>
      <c r="F246" s="6" t="s">
        <v>2449</v>
      </c>
      <c r="G246" s="6" t="s">
        <v>2450</v>
      </c>
      <c r="H246" s="6" t="s">
        <v>2451</v>
      </c>
      <c r="I246" s="6" t="s">
        <v>126</v>
      </c>
      <c r="J246" s="6" t="s">
        <v>2452</v>
      </c>
      <c r="K246" s="6">
        <v>123456.0</v>
      </c>
      <c r="L246" s="6">
        <v>9.015010542E9</v>
      </c>
      <c r="M246" s="6">
        <v>8.988939312E9</v>
      </c>
      <c r="N246" s="6">
        <v>8.219916087E9</v>
      </c>
      <c r="O246" s="23">
        <v>38599.0</v>
      </c>
      <c r="P246" s="6" t="s">
        <v>2453</v>
      </c>
      <c r="Q246" s="6" t="s">
        <v>2454</v>
      </c>
      <c r="R246" s="6" t="s">
        <v>2455</v>
      </c>
      <c r="S246" s="6" t="s">
        <v>136</v>
      </c>
      <c r="T246" s="6">
        <v>143001.0</v>
      </c>
      <c r="U246" s="6" t="s">
        <v>169</v>
      </c>
      <c r="V246" s="6" t="s">
        <v>187</v>
      </c>
      <c r="W246" s="6" t="s">
        <v>141</v>
      </c>
      <c r="X246" s="6" t="s">
        <v>143</v>
      </c>
      <c r="Y246" s="6" t="s">
        <v>251</v>
      </c>
      <c r="Z246" s="28"/>
      <c r="AA246" s="57" t="s">
        <v>2093</v>
      </c>
      <c r="AB246" s="28"/>
      <c r="AC246" s="28"/>
      <c r="AD246" s="7"/>
      <c r="AE246" s="7"/>
      <c r="AF246" s="7"/>
    </row>
    <row r="247">
      <c r="A247" s="15">
        <v>246.0</v>
      </c>
      <c r="B247" s="85" t="s">
        <v>2456</v>
      </c>
      <c r="C247" s="17" t="s">
        <v>116</v>
      </c>
      <c r="D247" s="6">
        <v>2.021010016879E12</v>
      </c>
      <c r="E247" s="6">
        <v>1.1242147605E10</v>
      </c>
      <c r="F247" s="6" t="s">
        <v>2457</v>
      </c>
      <c r="G247" s="6" t="s">
        <v>2458</v>
      </c>
      <c r="H247" s="7"/>
      <c r="I247" s="6" t="s">
        <v>164</v>
      </c>
      <c r="J247" s="6" t="s">
        <v>2459</v>
      </c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57" t="s">
        <v>2093</v>
      </c>
      <c r="AB247" s="7"/>
      <c r="AC247" s="7"/>
      <c r="AD247" s="7"/>
      <c r="AE247" s="7"/>
      <c r="AF247" s="7"/>
      <c r="AG247" s="1" t="s">
        <v>2460</v>
      </c>
    </row>
    <row r="248">
      <c r="A248" s="15">
        <v>247.0</v>
      </c>
      <c r="B248" s="84" t="s">
        <v>2456</v>
      </c>
      <c r="C248" s="17" t="s">
        <v>116</v>
      </c>
      <c r="D248" s="6">
        <v>2.021010017868E12</v>
      </c>
      <c r="E248" s="6">
        <v>1.1242151308E10</v>
      </c>
      <c r="F248" s="6" t="s">
        <v>2461</v>
      </c>
      <c r="G248" s="6" t="s">
        <v>2462</v>
      </c>
      <c r="H248" s="6" t="s">
        <v>2463</v>
      </c>
      <c r="I248" s="6" t="s">
        <v>164</v>
      </c>
      <c r="J248" s="6" t="s">
        <v>2464</v>
      </c>
      <c r="K248" s="6">
        <v>123456.0</v>
      </c>
      <c r="L248" s="6">
        <v>7.81437343E9</v>
      </c>
      <c r="M248" s="6">
        <v>7.81437343E9</v>
      </c>
      <c r="N248" s="6">
        <v>7.81437343E9</v>
      </c>
      <c r="O248" s="23">
        <v>37418.0</v>
      </c>
      <c r="P248" s="6" t="s">
        <v>2465</v>
      </c>
      <c r="Q248" s="6" t="s">
        <v>2466</v>
      </c>
      <c r="R248" s="6" t="s">
        <v>135</v>
      </c>
      <c r="S248" s="6" t="s">
        <v>136</v>
      </c>
      <c r="T248" s="6">
        <v>143001.0</v>
      </c>
      <c r="U248" s="6" t="s">
        <v>169</v>
      </c>
      <c r="V248" s="6" t="s">
        <v>140</v>
      </c>
      <c r="W248" s="6" t="s">
        <v>141</v>
      </c>
      <c r="X248" s="6" t="s">
        <v>506</v>
      </c>
      <c r="Y248" s="6" t="s">
        <v>251</v>
      </c>
      <c r="Z248" s="28"/>
      <c r="AA248" s="12" t="s">
        <v>2467</v>
      </c>
      <c r="AB248" s="28"/>
      <c r="AC248" s="28"/>
      <c r="AD248" s="28"/>
      <c r="AE248" s="7"/>
      <c r="AF248" s="7"/>
    </row>
    <row r="249">
      <c r="A249" s="15">
        <v>248.0</v>
      </c>
      <c r="B249" s="84" t="s">
        <v>2456</v>
      </c>
      <c r="C249" s="17" t="s">
        <v>116</v>
      </c>
      <c r="D249" s="6">
        <v>2.021010073747E12</v>
      </c>
      <c r="E249" s="6">
        <v>1.1242151329E10</v>
      </c>
      <c r="F249" s="6" t="s">
        <v>2468</v>
      </c>
      <c r="G249" s="6" t="s">
        <v>2469</v>
      </c>
      <c r="H249" s="6" t="s">
        <v>2108</v>
      </c>
      <c r="I249" s="6" t="s">
        <v>126</v>
      </c>
      <c r="J249" s="6" t="s">
        <v>2470</v>
      </c>
      <c r="K249" s="6">
        <v>123456.0</v>
      </c>
      <c r="L249" s="6">
        <v>8.847017297E9</v>
      </c>
      <c r="M249" s="6">
        <v>9.878171578E9</v>
      </c>
      <c r="N249" s="6">
        <v>8.289071578E9</v>
      </c>
      <c r="O249" s="23">
        <v>37749.0</v>
      </c>
      <c r="P249" s="6" t="s">
        <v>2471</v>
      </c>
      <c r="Q249" s="6" t="s">
        <v>2472</v>
      </c>
      <c r="R249" s="6" t="s">
        <v>418</v>
      </c>
      <c r="S249" s="6" t="s">
        <v>136</v>
      </c>
      <c r="T249" s="6">
        <v>151104.0</v>
      </c>
      <c r="U249" s="6" t="s">
        <v>169</v>
      </c>
      <c r="V249" s="6" t="s">
        <v>187</v>
      </c>
      <c r="W249" s="6" t="s">
        <v>141</v>
      </c>
      <c r="X249" s="6" t="s">
        <v>229</v>
      </c>
      <c r="Y249" s="6" t="s">
        <v>144</v>
      </c>
      <c r="Z249" s="28"/>
      <c r="AA249" s="12" t="s">
        <v>2467</v>
      </c>
      <c r="AB249" s="28"/>
      <c r="AC249" s="28"/>
      <c r="AD249" s="28"/>
      <c r="AE249" s="7"/>
      <c r="AF249" s="7"/>
    </row>
    <row r="250">
      <c r="A250" s="15">
        <v>249.0</v>
      </c>
      <c r="B250" s="84" t="s">
        <v>2456</v>
      </c>
      <c r="C250" s="17" t="s">
        <v>116</v>
      </c>
      <c r="D250" s="6">
        <v>2.021010073717E12</v>
      </c>
      <c r="E250" s="6">
        <v>1.1242151323E10</v>
      </c>
      <c r="F250" s="6" t="s">
        <v>2473</v>
      </c>
      <c r="G250" s="6" t="s">
        <v>1475</v>
      </c>
      <c r="H250" s="6" t="s">
        <v>360</v>
      </c>
      <c r="I250" s="6" t="s">
        <v>126</v>
      </c>
      <c r="J250" s="6" t="s">
        <v>2474</v>
      </c>
      <c r="K250" s="6" t="s">
        <v>2475</v>
      </c>
      <c r="L250" s="6">
        <v>9.877572185E9</v>
      </c>
      <c r="M250" s="6">
        <v>9.464438145E9</v>
      </c>
      <c r="N250" s="6">
        <v>9.464263663E9</v>
      </c>
      <c r="O250" s="6" t="s">
        <v>2476</v>
      </c>
      <c r="P250" s="6" t="s">
        <v>2477</v>
      </c>
      <c r="Q250" s="6" t="s">
        <v>2478</v>
      </c>
      <c r="R250" s="6" t="s">
        <v>437</v>
      </c>
      <c r="S250" s="6" t="s">
        <v>136</v>
      </c>
      <c r="T250" s="6">
        <v>143401.0</v>
      </c>
      <c r="U250" s="6" t="s">
        <v>169</v>
      </c>
      <c r="V250" s="6" t="s">
        <v>187</v>
      </c>
      <c r="W250" s="6" t="s">
        <v>141</v>
      </c>
      <c r="X250" s="6" t="s">
        <v>143</v>
      </c>
      <c r="Y250" s="6" t="s">
        <v>144</v>
      </c>
      <c r="Z250" s="28"/>
      <c r="AA250" s="12" t="s">
        <v>2467</v>
      </c>
      <c r="AB250" s="28"/>
      <c r="AC250" s="28"/>
      <c r="AD250" s="28"/>
      <c r="AE250" s="7"/>
      <c r="AF250" s="7"/>
    </row>
    <row r="251">
      <c r="A251" s="15">
        <v>250.0</v>
      </c>
      <c r="B251" s="84" t="s">
        <v>2456</v>
      </c>
      <c r="C251" s="17" t="s">
        <v>116</v>
      </c>
      <c r="D251" s="6">
        <v>2.021010073677E12</v>
      </c>
      <c r="E251" s="6">
        <v>1.1242151316E10</v>
      </c>
      <c r="F251" s="6" t="s">
        <v>2479</v>
      </c>
      <c r="G251" s="6" t="s">
        <v>2469</v>
      </c>
      <c r="H251" s="6" t="s">
        <v>2480</v>
      </c>
      <c r="I251" s="6" t="s">
        <v>126</v>
      </c>
      <c r="J251" s="6" t="s">
        <v>2481</v>
      </c>
      <c r="K251" s="6" t="s">
        <v>2482</v>
      </c>
      <c r="L251" s="6">
        <v>9.781629219E9</v>
      </c>
      <c r="M251" s="6">
        <v>9.781629219E9</v>
      </c>
      <c r="N251" s="6">
        <v>9.781629219E9</v>
      </c>
      <c r="O251" s="6" t="s">
        <v>2483</v>
      </c>
      <c r="P251" s="6" t="s">
        <v>2484</v>
      </c>
      <c r="Q251" s="6" t="s">
        <v>2485</v>
      </c>
      <c r="R251" s="6" t="s">
        <v>135</v>
      </c>
      <c r="S251" s="6" t="s">
        <v>136</v>
      </c>
      <c r="T251" s="6">
        <v>143001.0</v>
      </c>
      <c r="U251" s="6" t="s">
        <v>138</v>
      </c>
      <c r="V251" s="6" t="s">
        <v>187</v>
      </c>
      <c r="W251" s="6" t="s">
        <v>141</v>
      </c>
      <c r="X251" s="6" t="s">
        <v>143</v>
      </c>
      <c r="Y251" s="6" t="s">
        <v>144</v>
      </c>
      <c r="Z251" s="28"/>
      <c r="AA251" s="12" t="s">
        <v>2467</v>
      </c>
      <c r="AB251" s="28"/>
      <c r="AC251" s="28"/>
      <c r="AD251" s="28"/>
      <c r="AE251" s="7"/>
      <c r="AF251" s="7"/>
    </row>
    <row r="252">
      <c r="A252" s="15">
        <v>251.0</v>
      </c>
      <c r="B252" s="84" t="s">
        <v>2456</v>
      </c>
      <c r="C252" s="17" t="s">
        <v>116</v>
      </c>
      <c r="D252" s="6">
        <v>2.021010018521E12</v>
      </c>
      <c r="E252" s="6">
        <v>1.1242151332E10</v>
      </c>
      <c r="F252" s="6" t="s">
        <v>2486</v>
      </c>
      <c r="G252" s="6" t="s">
        <v>554</v>
      </c>
      <c r="H252" s="6" t="s">
        <v>2487</v>
      </c>
      <c r="I252" s="6" t="s">
        <v>164</v>
      </c>
      <c r="J252" s="6" t="s">
        <v>2488</v>
      </c>
      <c r="K252" s="6" t="s">
        <v>2489</v>
      </c>
      <c r="L252" s="6">
        <v>9.596991023E9</v>
      </c>
      <c r="M252" s="6">
        <v>9.046780098E9</v>
      </c>
      <c r="N252" s="6">
        <v>9.541255805E9</v>
      </c>
      <c r="O252" s="23">
        <v>38020.0</v>
      </c>
      <c r="P252" s="6" t="s">
        <v>2490</v>
      </c>
      <c r="Q252" s="6" t="s">
        <v>2491</v>
      </c>
      <c r="R252" s="6" t="s">
        <v>2492</v>
      </c>
      <c r="S252" s="6" t="s">
        <v>1455</v>
      </c>
      <c r="T252" s="6">
        <v>181207.0</v>
      </c>
      <c r="U252" s="6" t="s">
        <v>169</v>
      </c>
      <c r="V252" s="6" t="s">
        <v>140</v>
      </c>
      <c r="W252" s="6" t="s">
        <v>141</v>
      </c>
      <c r="X252" s="6" t="s">
        <v>143</v>
      </c>
      <c r="Y252" s="6" t="s">
        <v>251</v>
      </c>
      <c r="Z252" s="28"/>
      <c r="AA252" s="12" t="s">
        <v>2467</v>
      </c>
      <c r="AB252" s="28"/>
      <c r="AC252" s="28"/>
      <c r="AD252" s="28"/>
      <c r="AE252" s="7"/>
      <c r="AF252" s="30" t="s">
        <v>2493</v>
      </c>
    </row>
    <row r="253">
      <c r="A253" s="15">
        <v>252.0</v>
      </c>
      <c r="B253" s="84" t="s">
        <v>2456</v>
      </c>
      <c r="C253" s="17" t="s">
        <v>116</v>
      </c>
      <c r="D253" s="6">
        <v>2.021010074313E12</v>
      </c>
      <c r="E253" s="6">
        <v>1.1242147627E10</v>
      </c>
      <c r="F253" s="6" t="s">
        <v>2494</v>
      </c>
      <c r="G253" s="6" t="s">
        <v>1085</v>
      </c>
      <c r="H253" s="6" t="s">
        <v>2495</v>
      </c>
      <c r="I253" s="6" t="s">
        <v>164</v>
      </c>
      <c r="J253" s="6" t="s">
        <v>2496</v>
      </c>
      <c r="K253" s="30" t="s">
        <v>291</v>
      </c>
      <c r="L253" s="6">
        <v>6.280739369E9</v>
      </c>
      <c r="M253" s="6">
        <v>9.888883164E9</v>
      </c>
      <c r="N253" s="6">
        <v>9.888883164E9</v>
      </c>
      <c r="O253" s="32">
        <v>36043.0</v>
      </c>
      <c r="P253" s="6" t="s">
        <v>2497</v>
      </c>
      <c r="Q253" s="6" t="s">
        <v>2498</v>
      </c>
      <c r="R253" s="6" t="s">
        <v>2499</v>
      </c>
      <c r="S253" s="6" t="s">
        <v>989</v>
      </c>
      <c r="T253" s="6" t="s">
        <v>2500</v>
      </c>
      <c r="U253" s="6" t="s">
        <v>169</v>
      </c>
      <c r="V253" s="6" t="s">
        <v>66</v>
      </c>
      <c r="W253" s="6" t="s">
        <v>141</v>
      </c>
      <c r="X253" s="6" t="s">
        <v>1599</v>
      </c>
      <c r="Y253" s="6" t="s">
        <v>144</v>
      </c>
      <c r="Z253" s="6" t="s">
        <v>80</v>
      </c>
      <c r="AA253" s="12" t="s">
        <v>2467</v>
      </c>
      <c r="AB253" s="7"/>
      <c r="AC253" s="7"/>
      <c r="AD253" s="7"/>
      <c r="AE253" s="7"/>
      <c r="AF253" s="30" t="s">
        <v>2501</v>
      </c>
    </row>
    <row r="254">
      <c r="A254" s="15">
        <v>253.0</v>
      </c>
      <c r="B254" s="84" t="s">
        <v>2456</v>
      </c>
      <c r="C254" s="17" t="s">
        <v>116</v>
      </c>
      <c r="D254" s="6">
        <v>2.021010073709E12</v>
      </c>
      <c r="E254" s="6">
        <v>1.1242151322E10</v>
      </c>
      <c r="F254" s="6" t="s">
        <v>2502</v>
      </c>
      <c r="G254" s="6" t="s">
        <v>1181</v>
      </c>
      <c r="H254" s="6" t="s">
        <v>2503</v>
      </c>
      <c r="I254" s="6" t="s">
        <v>164</v>
      </c>
      <c r="J254" s="6" t="s">
        <v>2504</v>
      </c>
      <c r="K254" s="6">
        <v>123456.0</v>
      </c>
      <c r="L254" s="6">
        <v>6.284491758E9</v>
      </c>
      <c r="M254" s="6">
        <v>6.284491758E9</v>
      </c>
      <c r="N254" s="6">
        <v>7.717656634E9</v>
      </c>
      <c r="O254" s="23">
        <v>37713.0</v>
      </c>
      <c r="P254" s="6" t="s">
        <v>2505</v>
      </c>
      <c r="Q254" s="6" t="s">
        <v>2506</v>
      </c>
      <c r="R254" s="6" t="s">
        <v>609</v>
      </c>
      <c r="S254" s="6" t="s">
        <v>136</v>
      </c>
      <c r="T254" s="6">
        <v>143531.0</v>
      </c>
      <c r="U254" s="6" t="s">
        <v>138</v>
      </c>
      <c r="V254" s="6" t="s">
        <v>140</v>
      </c>
      <c r="W254" s="6" t="s">
        <v>141</v>
      </c>
      <c r="X254" s="6" t="s">
        <v>208</v>
      </c>
      <c r="Y254" s="6" t="s">
        <v>251</v>
      </c>
      <c r="Z254" s="28"/>
      <c r="AA254" s="12" t="s">
        <v>2467</v>
      </c>
      <c r="AB254" s="28"/>
      <c r="AC254" s="28"/>
      <c r="AD254" s="28"/>
      <c r="AE254" s="7"/>
      <c r="AF254" s="7"/>
    </row>
    <row r="255">
      <c r="A255" s="15">
        <v>254.0</v>
      </c>
      <c r="B255" s="84" t="s">
        <v>2456</v>
      </c>
      <c r="C255" s="17" t="s">
        <v>116</v>
      </c>
      <c r="D255" s="6">
        <v>2.021010071066E12</v>
      </c>
      <c r="E255" s="6">
        <v>1.1242147625E10</v>
      </c>
      <c r="F255" s="6" t="s">
        <v>2507</v>
      </c>
      <c r="G255" s="6" t="s">
        <v>2508</v>
      </c>
      <c r="H255" s="6" t="s">
        <v>923</v>
      </c>
      <c r="I255" s="6" t="s">
        <v>164</v>
      </c>
      <c r="J255" s="6" t="s">
        <v>2509</v>
      </c>
      <c r="K255" s="6" t="s">
        <v>2510</v>
      </c>
      <c r="L255" s="6">
        <v>6.239316118E9</v>
      </c>
      <c r="M255" s="6">
        <v>7.589383806E9</v>
      </c>
      <c r="N255" s="6">
        <v>7.814074577E9</v>
      </c>
      <c r="O255" s="23">
        <v>37297.0</v>
      </c>
      <c r="P255" s="6" t="s">
        <v>2511</v>
      </c>
      <c r="Q255" s="6" t="s">
        <v>2512</v>
      </c>
      <c r="R255" s="6" t="s">
        <v>135</v>
      </c>
      <c r="S255" s="6" t="s">
        <v>136</v>
      </c>
      <c r="T255" s="6">
        <v>143101.0</v>
      </c>
      <c r="U255" s="6" t="s">
        <v>169</v>
      </c>
      <c r="V255" s="6" t="s">
        <v>140</v>
      </c>
      <c r="W255" s="6" t="s">
        <v>141</v>
      </c>
      <c r="X255" s="6" t="s">
        <v>229</v>
      </c>
      <c r="Y255" s="6" t="s">
        <v>251</v>
      </c>
      <c r="Z255" s="28"/>
      <c r="AA255" s="12" t="s">
        <v>2467</v>
      </c>
      <c r="AB255" s="28"/>
      <c r="AC255" s="28"/>
      <c r="AD255" s="28"/>
      <c r="AE255" s="7"/>
      <c r="AF255" s="30" t="s">
        <v>2513</v>
      </c>
    </row>
    <row r="256">
      <c r="A256" s="15">
        <v>255.0</v>
      </c>
      <c r="B256" s="84" t="s">
        <v>2456</v>
      </c>
      <c r="C256" s="17" t="s">
        <v>116</v>
      </c>
      <c r="D256" s="6">
        <v>2.021010013733E12</v>
      </c>
      <c r="E256" s="6">
        <v>1.1242151303E10</v>
      </c>
      <c r="F256" s="6" t="s">
        <v>2514</v>
      </c>
      <c r="G256" s="6" t="s">
        <v>2515</v>
      </c>
      <c r="H256" s="7"/>
      <c r="I256" s="6" t="s">
        <v>164</v>
      </c>
      <c r="J256" s="6" t="s">
        <v>2516</v>
      </c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12" t="s">
        <v>2467</v>
      </c>
      <c r="AB256" s="7"/>
      <c r="AC256" s="7"/>
      <c r="AD256" s="7"/>
      <c r="AE256" s="7"/>
      <c r="AF256" s="7"/>
    </row>
    <row r="257">
      <c r="A257" s="15">
        <v>256.0</v>
      </c>
      <c r="B257" s="84" t="s">
        <v>2456</v>
      </c>
      <c r="C257" s="17" t="s">
        <v>116</v>
      </c>
      <c r="D257" s="6">
        <v>2.021010073663E12</v>
      </c>
      <c r="E257" s="6">
        <v>1.1242151314E10</v>
      </c>
      <c r="F257" s="6" t="s">
        <v>2517</v>
      </c>
      <c r="G257" s="6" t="s">
        <v>554</v>
      </c>
      <c r="H257" s="6" t="s">
        <v>2518</v>
      </c>
      <c r="I257" s="6" t="s">
        <v>164</v>
      </c>
      <c r="J257" s="6" t="s">
        <v>2519</v>
      </c>
      <c r="K257" s="6" t="s">
        <v>2482</v>
      </c>
      <c r="L257" s="6">
        <v>7.740042175E9</v>
      </c>
      <c r="M257" s="6">
        <v>9.779401932E9</v>
      </c>
      <c r="N257" s="6">
        <v>9.779401932E9</v>
      </c>
      <c r="O257" s="6" t="s">
        <v>2520</v>
      </c>
      <c r="P257" s="6" t="s">
        <v>2521</v>
      </c>
      <c r="Q257" s="6" t="s">
        <v>2522</v>
      </c>
      <c r="R257" s="6" t="s">
        <v>2523</v>
      </c>
      <c r="S257" s="6" t="s">
        <v>136</v>
      </c>
      <c r="T257" s="6">
        <v>143602.0</v>
      </c>
      <c r="U257" s="6" t="s">
        <v>138</v>
      </c>
      <c r="V257" s="6" t="s">
        <v>140</v>
      </c>
      <c r="W257" s="6" t="s">
        <v>141</v>
      </c>
      <c r="X257" s="6" t="s">
        <v>965</v>
      </c>
      <c r="Y257" s="6" t="s">
        <v>144</v>
      </c>
      <c r="Z257" s="28"/>
      <c r="AA257" s="12" t="s">
        <v>2467</v>
      </c>
      <c r="AB257" s="28"/>
      <c r="AC257" s="28"/>
      <c r="AD257" s="28"/>
      <c r="AE257" s="7"/>
      <c r="AF257" s="7"/>
    </row>
    <row r="258">
      <c r="A258" s="15">
        <v>257.0</v>
      </c>
      <c r="B258" s="84" t="s">
        <v>2456</v>
      </c>
      <c r="C258" s="17" t="s">
        <v>116</v>
      </c>
      <c r="D258" s="6">
        <v>2.021010067484E12</v>
      </c>
      <c r="E258" s="6">
        <v>1.124214762E10</v>
      </c>
      <c r="F258" s="6" t="s">
        <v>2524</v>
      </c>
      <c r="G258" s="6" t="s">
        <v>2525</v>
      </c>
      <c r="H258" s="6" t="s">
        <v>774</v>
      </c>
      <c r="I258" s="6" t="s">
        <v>164</v>
      </c>
      <c r="J258" s="6" t="s">
        <v>2526</v>
      </c>
      <c r="K258" s="6">
        <v>1234.0</v>
      </c>
      <c r="L258" s="6">
        <v>7.087472205E9</v>
      </c>
      <c r="M258" s="6">
        <v>8.872887872E9</v>
      </c>
      <c r="N258" s="55"/>
      <c r="O258" s="6" t="s">
        <v>2527</v>
      </c>
      <c r="P258" s="6" t="s">
        <v>2528</v>
      </c>
      <c r="Q258" s="6" t="s">
        <v>2529</v>
      </c>
      <c r="R258" s="6" t="s">
        <v>437</v>
      </c>
      <c r="S258" s="6" t="s">
        <v>136</v>
      </c>
      <c r="T258" s="6">
        <v>143302.0</v>
      </c>
      <c r="U258" s="6" t="s">
        <v>169</v>
      </c>
      <c r="V258" s="6" t="s">
        <v>140</v>
      </c>
      <c r="W258" s="6" t="s">
        <v>141</v>
      </c>
      <c r="X258" s="6" t="s">
        <v>1982</v>
      </c>
      <c r="Y258" s="6" t="s">
        <v>144</v>
      </c>
      <c r="Z258" s="28"/>
      <c r="AA258" s="12" t="s">
        <v>2467</v>
      </c>
      <c r="AB258" s="28"/>
      <c r="AC258" s="28"/>
      <c r="AD258" s="28"/>
      <c r="AE258" s="7"/>
      <c r="AF258" s="7"/>
    </row>
    <row r="259">
      <c r="A259" s="15">
        <v>258.0</v>
      </c>
      <c r="B259" s="84" t="s">
        <v>2456</v>
      </c>
      <c r="C259" s="17" t="s">
        <v>116</v>
      </c>
      <c r="D259" s="6">
        <v>2.021010073745E12</v>
      </c>
      <c r="E259" s="6">
        <v>1.1242151328E10</v>
      </c>
      <c r="F259" s="6" t="s">
        <v>2530</v>
      </c>
      <c r="G259" s="6" t="s">
        <v>1129</v>
      </c>
      <c r="H259" s="6" t="s">
        <v>276</v>
      </c>
      <c r="I259" s="6" t="s">
        <v>126</v>
      </c>
      <c r="J259" s="6" t="s">
        <v>2531</v>
      </c>
      <c r="K259" s="6">
        <v>123456.0</v>
      </c>
      <c r="L259" s="6">
        <v>7.837385378E9</v>
      </c>
      <c r="M259" s="6">
        <v>9.463873028E9</v>
      </c>
      <c r="N259" s="6">
        <v>9.465497842E9</v>
      </c>
      <c r="O259" s="6" t="s">
        <v>2532</v>
      </c>
      <c r="P259" s="6" t="s">
        <v>2533</v>
      </c>
      <c r="Q259" s="6" t="s">
        <v>2534</v>
      </c>
      <c r="R259" s="6" t="s">
        <v>2535</v>
      </c>
      <c r="S259" s="6" t="s">
        <v>136</v>
      </c>
      <c r="T259" s="6">
        <v>152123.0</v>
      </c>
      <c r="U259" s="6" t="s">
        <v>138</v>
      </c>
      <c r="V259" s="6" t="s">
        <v>187</v>
      </c>
      <c r="W259" s="6" t="s">
        <v>141</v>
      </c>
      <c r="X259" s="6" t="s">
        <v>506</v>
      </c>
      <c r="Y259" s="6" t="s">
        <v>144</v>
      </c>
      <c r="Z259" s="28"/>
      <c r="AA259" s="12" t="s">
        <v>2467</v>
      </c>
      <c r="AB259" s="28"/>
      <c r="AC259" s="28"/>
      <c r="AD259" s="28"/>
      <c r="AE259" s="7"/>
      <c r="AF259" s="7"/>
    </row>
    <row r="260">
      <c r="A260" s="15">
        <v>259.0</v>
      </c>
      <c r="B260" s="84" t="s">
        <v>2456</v>
      </c>
      <c r="C260" s="17" t="s">
        <v>116</v>
      </c>
      <c r="D260" s="6">
        <v>2.018010006516E12</v>
      </c>
      <c r="E260" s="6">
        <v>1.1242151301E10</v>
      </c>
      <c r="F260" s="6" t="s">
        <v>2536</v>
      </c>
      <c r="G260" s="6" t="s">
        <v>456</v>
      </c>
      <c r="H260" s="6" t="s">
        <v>2537</v>
      </c>
      <c r="I260" s="6" t="s">
        <v>126</v>
      </c>
      <c r="J260" s="6" t="s">
        <v>2538</v>
      </c>
      <c r="K260" s="6">
        <v>123456.0</v>
      </c>
      <c r="L260" s="6">
        <v>9.888374544E9</v>
      </c>
      <c r="M260" s="6">
        <v>9.781185386E9</v>
      </c>
      <c r="N260" s="6">
        <v>9.64696994E9</v>
      </c>
      <c r="O260" s="23">
        <v>36229.0</v>
      </c>
      <c r="P260" s="6" t="s">
        <v>2539</v>
      </c>
      <c r="Q260" s="6" t="s">
        <v>2540</v>
      </c>
      <c r="R260" s="6" t="s">
        <v>646</v>
      </c>
      <c r="S260" s="6" t="s">
        <v>136</v>
      </c>
      <c r="T260" s="6">
        <v>143505.0</v>
      </c>
      <c r="U260" s="6" t="s">
        <v>138</v>
      </c>
      <c r="V260" s="6" t="s">
        <v>187</v>
      </c>
      <c r="W260" s="6" t="s">
        <v>141</v>
      </c>
      <c r="X260" s="6" t="s">
        <v>143</v>
      </c>
      <c r="Y260" s="6" t="s">
        <v>251</v>
      </c>
      <c r="Z260" s="28"/>
      <c r="AA260" s="12" t="s">
        <v>2467</v>
      </c>
      <c r="AB260" s="28"/>
      <c r="AC260" s="28"/>
      <c r="AD260" s="28"/>
      <c r="AE260" s="7"/>
      <c r="AF260" s="7"/>
    </row>
    <row r="261">
      <c r="A261" s="15">
        <v>260.0</v>
      </c>
      <c r="B261" s="84" t="s">
        <v>2456</v>
      </c>
      <c r="C261" s="17" t="s">
        <v>116</v>
      </c>
      <c r="D261" s="6">
        <v>2.021010014321E12</v>
      </c>
      <c r="E261" s="6">
        <v>1.1242151305E10</v>
      </c>
      <c r="F261" s="6" t="s">
        <v>2541</v>
      </c>
      <c r="G261" s="6" t="s">
        <v>2542</v>
      </c>
      <c r="H261" s="6" t="s">
        <v>2543</v>
      </c>
      <c r="I261" s="6" t="s">
        <v>126</v>
      </c>
      <c r="J261" s="6" t="s">
        <v>2544</v>
      </c>
      <c r="K261" s="6" t="s">
        <v>2545</v>
      </c>
      <c r="L261" s="6">
        <v>7.717344438E9</v>
      </c>
      <c r="M261" s="6">
        <v>6.239688754E9</v>
      </c>
      <c r="N261" s="6">
        <v>7.81426332E9</v>
      </c>
      <c r="O261" s="23">
        <v>36934.0</v>
      </c>
      <c r="P261" s="6" t="s">
        <v>2546</v>
      </c>
      <c r="Q261" s="6" t="s">
        <v>2547</v>
      </c>
      <c r="R261" s="6" t="s">
        <v>135</v>
      </c>
      <c r="S261" s="6" t="s">
        <v>136</v>
      </c>
      <c r="T261" s="6">
        <v>143001.0</v>
      </c>
      <c r="U261" s="6" t="s">
        <v>169</v>
      </c>
      <c r="V261" s="6" t="s">
        <v>187</v>
      </c>
      <c r="W261" s="6" t="s">
        <v>1746</v>
      </c>
      <c r="X261" s="6" t="s">
        <v>143</v>
      </c>
      <c r="Y261" s="6" t="s">
        <v>251</v>
      </c>
      <c r="Z261" s="28"/>
      <c r="AA261" s="12" t="s">
        <v>2467</v>
      </c>
      <c r="AB261" s="28"/>
      <c r="AC261" s="28"/>
      <c r="AD261" s="28"/>
      <c r="AE261" s="7"/>
      <c r="AF261" s="30" t="s">
        <v>2548</v>
      </c>
    </row>
    <row r="262">
      <c r="A262" s="15">
        <v>261.0</v>
      </c>
      <c r="B262" s="84" t="s">
        <v>2456</v>
      </c>
      <c r="C262" s="17" t="s">
        <v>116</v>
      </c>
      <c r="D262" s="6">
        <v>2.021010073615E12</v>
      </c>
      <c r="E262" s="6">
        <v>1.1242151312E10</v>
      </c>
      <c r="F262" s="6" t="s">
        <v>2549</v>
      </c>
      <c r="G262" s="6" t="s">
        <v>2550</v>
      </c>
      <c r="H262" s="6" t="s">
        <v>2551</v>
      </c>
      <c r="I262" s="6" t="s">
        <v>164</v>
      </c>
      <c r="J262" s="6" t="s">
        <v>2552</v>
      </c>
      <c r="K262" s="30" t="s">
        <v>291</v>
      </c>
      <c r="L262" s="6">
        <v>6.283475698E9</v>
      </c>
      <c r="M262" s="6">
        <v>7.837091094E9</v>
      </c>
      <c r="N262" s="6">
        <v>6.283886831E9</v>
      </c>
      <c r="O262" s="32">
        <v>37998.0</v>
      </c>
      <c r="P262" s="6" t="s">
        <v>2553</v>
      </c>
      <c r="Q262" s="6" t="s">
        <v>2554</v>
      </c>
      <c r="R262" s="6" t="s">
        <v>2555</v>
      </c>
      <c r="S262" s="6" t="s">
        <v>136</v>
      </c>
      <c r="T262" s="30" t="s">
        <v>2556</v>
      </c>
      <c r="U262" s="6" t="s">
        <v>138</v>
      </c>
      <c r="V262" s="6" t="s">
        <v>66</v>
      </c>
      <c r="W262" s="6" t="s">
        <v>141</v>
      </c>
      <c r="X262" s="6" t="s">
        <v>250</v>
      </c>
      <c r="Y262" s="6" t="s">
        <v>251</v>
      </c>
      <c r="Z262" s="6" t="s">
        <v>80</v>
      </c>
      <c r="AA262" s="12" t="s">
        <v>2467</v>
      </c>
      <c r="AB262" s="7"/>
      <c r="AC262" s="7"/>
      <c r="AD262" s="7"/>
      <c r="AE262" s="7"/>
      <c r="AF262" s="30" t="s">
        <v>2557</v>
      </c>
    </row>
    <row r="263">
      <c r="A263" s="15">
        <v>262.0</v>
      </c>
      <c r="B263" s="84" t="s">
        <v>2456</v>
      </c>
      <c r="C263" s="17" t="s">
        <v>116</v>
      </c>
      <c r="D263" s="6">
        <v>2.021010073698E12</v>
      </c>
      <c r="E263" s="6">
        <v>1.1242151319E10</v>
      </c>
      <c r="F263" s="6" t="s">
        <v>943</v>
      </c>
      <c r="G263" s="6" t="s">
        <v>1459</v>
      </c>
      <c r="H263" s="6" t="s">
        <v>2558</v>
      </c>
      <c r="I263" s="6" t="s">
        <v>126</v>
      </c>
      <c r="J263" s="6" t="s">
        <v>2559</v>
      </c>
      <c r="K263" s="6" t="s">
        <v>2482</v>
      </c>
      <c r="L263" s="6">
        <v>8.146664183E9</v>
      </c>
      <c r="M263" s="6">
        <v>8.437680825E9</v>
      </c>
      <c r="N263" s="6">
        <v>9.592018064E9</v>
      </c>
      <c r="O263" s="32">
        <v>37180.0</v>
      </c>
      <c r="P263" s="6" t="s">
        <v>2560</v>
      </c>
      <c r="Q263" s="6" t="s">
        <v>2561</v>
      </c>
      <c r="R263" s="6" t="s">
        <v>2562</v>
      </c>
      <c r="S263" s="6" t="s">
        <v>989</v>
      </c>
      <c r="T263" s="6" t="s">
        <v>2563</v>
      </c>
      <c r="U263" s="6" t="s">
        <v>1598</v>
      </c>
      <c r="V263" s="6" t="s">
        <v>156</v>
      </c>
      <c r="W263" s="6" t="s">
        <v>141</v>
      </c>
      <c r="X263" s="6" t="s">
        <v>250</v>
      </c>
      <c r="Y263" s="6" t="s">
        <v>144</v>
      </c>
      <c r="Z263" s="6" t="s">
        <v>80</v>
      </c>
      <c r="AA263" s="12" t="s">
        <v>2467</v>
      </c>
      <c r="AB263" s="7"/>
      <c r="AC263" s="7"/>
      <c r="AD263" s="7"/>
      <c r="AE263" s="7"/>
      <c r="AF263" s="30" t="s">
        <v>2564</v>
      </c>
    </row>
    <row r="264">
      <c r="A264" s="15">
        <v>263.0</v>
      </c>
      <c r="B264" s="84" t="s">
        <v>2456</v>
      </c>
      <c r="C264" s="17" t="s">
        <v>116</v>
      </c>
      <c r="D264" s="6">
        <v>2.021010073723E12</v>
      </c>
      <c r="E264" s="6">
        <v>1.1242151324E10</v>
      </c>
      <c r="F264" s="6" t="s">
        <v>2565</v>
      </c>
      <c r="G264" s="6" t="s">
        <v>2566</v>
      </c>
      <c r="H264" s="6" t="s">
        <v>2567</v>
      </c>
      <c r="I264" s="6" t="s">
        <v>126</v>
      </c>
      <c r="J264" s="6" t="s">
        <v>2568</v>
      </c>
      <c r="K264" s="6">
        <v>123456.0</v>
      </c>
      <c r="L264" s="6">
        <v>7.696735416E9</v>
      </c>
      <c r="M264" s="6">
        <v>9.914835416E9</v>
      </c>
      <c r="N264" s="6">
        <v>9.914835416E9</v>
      </c>
      <c r="O264" s="32">
        <v>37512.0</v>
      </c>
      <c r="P264" s="6" t="s">
        <v>2569</v>
      </c>
      <c r="Q264" s="6" t="s">
        <v>2570</v>
      </c>
      <c r="R264" s="6" t="s">
        <v>595</v>
      </c>
      <c r="S264" s="6" t="s">
        <v>136</v>
      </c>
      <c r="T264" s="6">
        <v>152001.0</v>
      </c>
      <c r="U264" s="6" t="s">
        <v>169</v>
      </c>
      <c r="V264" s="6" t="s">
        <v>187</v>
      </c>
      <c r="W264" s="6" t="s">
        <v>141</v>
      </c>
      <c r="X264" s="6" t="s">
        <v>143</v>
      </c>
      <c r="Y264" s="6" t="s">
        <v>251</v>
      </c>
      <c r="Z264" s="28"/>
      <c r="AA264" s="12" t="s">
        <v>2467</v>
      </c>
      <c r="AB264" s="28"/>
      <c r="AC264" s="28"/>
      <c r="AD264" s="28"/>
      <c r="AE264" s="7"/>
      <c r="AF264" s="30" t="s">
        <v>2571</v>
      </c>
    </row>
    <row r="265">
      <c r="A265" s="15">
        <v>264.0</v>
      </c>
      <c r="B265" s="84" t="s">
        <v>2456</v>
      </c>
      <c r="C265" s="17" t="s">
        <v>116</v>
      </c>
      <c r="D265" s="6">
        <v>2.021010073733E12</v>
      </c>
      <c r="E265" s="6">
        <v>1.1242151325E10</v>
      </c>
      <c r="F265" s="6" t="s">
        <v>2572</v>
      </c>
      <c r="G265" s="6" t="s">
        <v>2573</v>
      </c>
      <c r="H265" s="6" t="s">
        <v>2574</v>
      </c>
      <c r="I265" s="6" t="s">
        <v>164</v>
      </c>
      <c r="J265" s="6" t="s">
        <v>2575</v>
      </c>
      <c r="K265" s="6">
        <v>123456.0</v>
      </c>
      <c r="L265" s="6">
        <v>7.00984851E9</v>
      </c>
      <c r="M265" s="6">
        <v>7.00984851E9</v>
      </c>
      <c r="N265" s="6">
        <v>7.00984851E9</v>
      </c>
      <c r="O265" s="23">
        <v>37809.0</v>
      </c>
      <c r="P265" s="6" t="s">
        <v>2576</v>
      </c>
      <c r="Q265" s="6" t="s">
        <v>2577</v>
      </c>
      <c r="R265" s="6" t="s">
        <v>716</v>
      </c>
      <c r="S265" s="6" t="s">
        <v>136</v>
      </c>
      <c r="T265" s="6">
        <v>143117.0</v>
      </c>
      <c r="U265" s="6" t="s">
        <v>169</v>
      </c>
      <c r="V265" s="6" t="s">
        <v>140</v>
      </c>
      <c r="W265" s="6" t="s">
        <v>141</v>
      </c>
      <c r="X265" s="6" t="s">
        <v>208</v>
      </c>
      <c r="Y265" s="6" t="s">
        <v>251</v>
      </c>
      <c r="Z265" s="28"/>
      <c r="AA265" s="12" t="s">
        <v>2467</v>
      </c>
      <c r="AB265" s="28"/>
      <c r="AC265" s="28"/>
      <c r="AD265" s="28"/>
      <c r="AE265" s="7"/>
      <c r="AF265" s="7"/>
    </row>
    <row r="266">
      <c r="A266" s="15">
        <v>265.0</v>
      </c>
      <c r="B266" s="84" t="s">
        <v>2456</v>
      </c>
      <c r="C266" s="17" t="s">
        <v>116</v>
      </c>
      <c r="D266" s="6">
        <v>2.021010073737E12</v>
      </c>
      <c r="E266" s="6">
        <v>1.1242151327E10</v>
      </c>
      <c r="F266" s="6" t="s">
        <v>2578</v>
      </c>
      <c r="G266" s="6" t="s">
        <v>870</v>
      </c>
      <c r="H266" s="7"/>
      <c r="I266" s="6" t="s">
        <v>126</v>
      </c>
      <c r="J266" s="6" t="s">
        <v>2579</v>
      </c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12" t="s">
        <v>2467</v>
      </c>
      <c r="AB266" s="7"/>
      <c r="AC266" s="7"/>
      <c r="AD266" s="7"/>
      <c r="AE266" s="7"/>
      <c r="AF266" s="7"/>
    </row>
    <row r="267">
      <c r="A267" s="15">
        <v>266.0</v>
      </c>
      <c r="B267" s="84" t="s">
        <v>2456</v>
      </c>
      <c r="C267" s="17" t="s">
        <v>116</v>
      </c>
      <c r="D267" s="6">
        <v>2.021010073666E12</v>
      </c>
      <c r="E267" s="6">
        <v>1.1242151315E10</v>
      </c>
      <c r="F267" s="6" t="s">
        <v>2580</v>
      </c>
      <c r="G267" s="6" t="s">
        <v>1204</v>
      </c>
      <c r="H267" s="6" t="s">
        <v>1193</v>
      </c>
      <c r="I267" s="6" t="s">
        <v>164</v>
      </c>
      <c r="J267" s="6" t="s">
        <v>2581</v>
      </c>
      <c r="K267" s="6" t="s">
        <v>2482</v>
      </c>
      <c r="L267" s="6">
        <v>9.592282295E9</v>
      </c>
      <c r="M267" s="6">
        <v>9.914887445E9</v>
      </c>
      <c r="N267" s="6">
        <v>9.592282295E9</v>
      </c>
      <c r="O267" s="23">
        <v>37474.0</v>
      </c>
      <c r="P267" s="6" t="s">
        <v>2582</v>
      </c>
      <c r="Q267" s="6" t="s">
        <v>2583</v>
      </c>
      <c r="R267" s="6" t="s">
        <v>135</v>
      </c>
      <c r="S267" s="6" t="s">
        <v>136</v>
      </c>
      <c r="T267" s="6">
        <v>143109.0</v>
      </c>
      <c r="U267" s="6" t="s">
        <v>321</v>
      </c>
      <c r="V267" s="6" t="s">
        <v>140</v>
      </c>
      <c r="W267" s="6" t="s">
        <v>141</v>
      </c>
      <c r="X267" s="6" t="s">
        <v>143</v>
      </c>
      <c r="Y267" s="6" t="s">
        <v>144</v>
      </c>
      <c r="Z267" s="28"/>
      <c r="AA267" s="12" t="s">
        <v>2467</v>
      </c>
      <c r="AB267" s="28"/>
      <c r="AC267" s="28"/>
      <c r="AD267" s="28"/>
      <c r="AE267" s="7"/>
      <c r="AF267" s="7"/>
    </row>
    <row r="268">
      <c r="A268" s="15">
        <v>267.0</v>
      </c>
      <c r="B268" s="84" t="s">
        <v>2456</v>
      </c>
      <c r="C268" s="17" t="s">
        <v>116</v>
      </c>
      <c r="D268" s="6">
        <v>2.021010073705E12</v>
      </c>
      <c r="E268" s="6">
        <v>1.124215132E10</v>
      </c>
      <c r="F268" s="6" t="s">
        <v>2198</v>
      </c>
      <c r="G268" s="6" t="s">
        <v>591</v>
      </c>
      <c r="H268" s="6" t="s">
        <v>1253</v>
      </c>
      <c r="I268" s="6" t="s">
        <v>126</v>
      </c>
      <c r="J268" s="6" t="s">
        <v>2584</v>
      </c>
      <c r="K268" s="6" t="s">
        <v>2585</v>
      </c>
      <c r="L268" s="6">
        <v>8.288072475E9</v>
      </c>
      <c r="M268" s="6">
        <v>9.878924453E9</v>
      </c>
      <c r="N268" s="6">
        <v>9.878924453E9</v>
      </c>
      <c r="O268" s="32">
        <v>36457.0</v>
      </c>
      <c r="P268" s="6" t="s">
        <v>2586</v>
      </c>
      <c r="Q268" s="6" t="s">
        <v>2587</v>
      </c>
      <c r="R268" s="6" t="s">
        <v>716</v>
      </c>
      <c r="S268" s="6" t="s">
        <v>136</v>
      </c>
      <c r="T268" s="6">
        <v>143105.0</v>
      </c>
      <c r="U268" s="6" t="s">
        <v>138</v>
      </c>
      <c r="V268" s="6" t="s">
        <v>187</v>
      </c>
      <c r="W268" s="6" t="s">
        <v>141</v>
      </c>
      <c r="X268" s="6" t="s">
        <v>208</v>
      </c>
      <c r="Y268" s="6" t="s">
        <v>144</v>
      </c>
      <c r="Z268" s="26" t="s">
        <v>80</v>
      </c>
      <c r="AA268" s="12" t="s">
        <v>2467</v>
      </c>
      <c r="AB268" s="28"/>
      <c r="AC268" s="28"/>
      <c r="AD268" s="28"/>
      <c r="AE268" s="7"/>
      <c r="AF268" s="30" t="s">
        <v>2588</v>
      </c>
    </row>
    <row r="269">
      <c r="A269" s="15">
        <v>268.0</v>
      </c>
      <c r="B269" s="84" t="s">
        <v>2456</v>
      </c>
      <c r="C269" s="17" t="s">
        <v>116</v>
      </c>
      <c r="D269" s="6">
        <v>2.021010073736E12</v>
      </c>
      <c r="E269" s="6">
        <v>1.1242151326E10</v>
      </c>
      <c r="F269" s="6" t="s">
        <v>2589</v>
      </c>
      <c r="G269" s="6" t="s">
        <v>2590</v>
      </c>
      <c r="H269" s="6" t="s">
        <v>2591</v>
      </c>
      <c r="I269" s="6" t="s">
        <v>126</v>
      </c>
      <c r="J269" s="6" t="s">
        <v>2592</v>
      </c>
      <c r="K269" s="6" t="s">
        <v>2482</v>
      </c>
      <c r="L269" s="6">
        <v>7.719756676E9</v>
      </c>
      <c r="M269" s="6">
        <v>7.719756675E9</v>
      </c>
      <c r="N269" s="6">
        <v>7.719756675E9</v>
      </c>
      <c r="O269" s="23">
        <v>37931.0</v>
      </c>
      <c r="P269" s="6" t="s">
        <v>2593</v>
      </c>
      <c r="Q269" s="6" t="s">
        <v>2594</v>
      </c>
      <c r="R269" s="6" t="s">
        <v>2595</v>
      </c>
      <c r="S269" s="6" t="s">
        <v>136</v>
      </c>
      <c r="T269" s="6">
        <v>143518.0</v>
      </c>
      <c r="U269" s="6" t="s">
        <v>321</v>
      </c>
      <c r="V269" s="6" t="s">
        <v>187</v>
      </c>
      <c r="W269" s="6" t="s">
        <v>141</v>
      </c>
      <c r="X269" s="6" t="s">
        <v>229</v>
      </c>
      <c r="Y269" s="6" t="s">
        <v>1627</v>
      </c>
      <c r="Z269" s="28"/>
      <c r="AA269" s="12" t="s">
        <v>2467</v>
      </c>
      <c r="AB269" s="28"/>
      <c r="AC269" s="28"/>
      <c r="AD269" s="28"/>
      <c r="AE269" s="7"/>
      <c r="AF269" s="7"/>
    </row>
    <row r="270">
      <c r="A270" s="15">
        <v>269.0</v>
      </c>
      <c r="B270" s="84" t="s">
        <v>2456</v>
      </c>
      <c r="C270" s="17" t="s">
        <v>116</v>
      </c>
      <c r="D270" s="6">
        <v>2.02101002033E12</v>
      </c>
      <c r="E270" s="6">
        <v>1.124215131E10</v>
      </c>
      <c r="F270" s="6" t="s">
        <v>2596</v>
      </c>
      <c r="G270" s="6" t="s">
        <v>2597</v>
      </c>
      <c r="H270" s="6" t="s">
        <v>2598</v>
      </c>
      <c r="I270" s="6" t="s">
        <v>126</v>
      </c>
      <c r="J270" s="6" t="s">
        <v>2599</v>
      </c>
      <c r="K270" s="6" t="s">
        <v>2600</v>
      </c>
      <c r="L270" s="6">
        <v>7.087068472E9</v>
      </c>
      <c r="M270" s="6">
        <v>8.727042619E9</v>
      </c>
      <c r="N270" s="6">
        <v>7.087142619E9</v>
      </c>
      <c r="O270" s="23">
        <v>38389.0</v>
      </c>
      <c r="P270" s="6" t="s">
        <v>2601</v>
      </c>
      <c r="Q270" s="6" t="s">
        <v>2602</v>
      </c>
      <c r="R270" s="6" t="s">
        <v>609</v>
      </c>
      <c r="S270" s="6" t="s">
        <v>136</v>
      </c>
      <c r="T270" s="6">
        <v>143526.0</v>
      </c>
      <c r="U270" s="6" t="s">
        <v>138</v>
      </c>
      <c r="V270" s="6" t="s">
        <v>187</v>
      </c>
      <c r="W270" s="6" t="s">
        <v>141</v>
      </c>
      <c r="X270" s="6" t="s">
        <v>229</v>
      </c>
      <c r="Y270" s="6" t="s">
        <v>251</v>
      </c>
      <c r="Z270" s="28"/>
      <c r="AA270" s="12" t="s">
        <v>2467</v>
      </c>
      <c r="AB270" s="28"/>
      <c r="AC270" s="28"/>
      <c r="AD270" s="28"/>
      <c r="AE270" s="7"/>
      <c r="AF270" s="7"/>
    </row>
    <row r="271">
      <c r="A271" s="15">
        <v>270.0</v>
      </c>
      <c r="B271" s="84" t="s">
        <v>2456</v>
      </c>
      <c r="C271" s="17" t="s">
        <v>116</v>
      </c>
      <c r="D271" s="6">
        <v>2.021010021267E12</v>
      </c>
      <c r="E271" s="6">
        <v>1.1242151311E10</v>
      </c>
      <c r="F271" s="6" t="s">
        <v>2558</v>
      </c>
      <c r="G271" s="6" t="s">
        <v>2603</v>
      </c>
      <c r="H271" s="6" t="s">
        <v>2604</v>
      </c>
      <c r="I271" s="6" t="s">
        <v>126</v>
      </c>
      <c r="J271" s="6" t="s">
        <v>2605</v>
      </c>
      <c r="K271" s="6">
        <v>123456.0</v>
      </c>
      <c r="L271" s="6">
        <v>8.283901131E9</v>
      </c>
      <c r="M271" s="6">
        <v>7.023069886E9</v>
      </c>
      <c r="N271" s="6">
        <v>8.699769886E9</v>
      </c>
      <c r="O271" s="23">
        <v>38412.0</v>
      </c>
      <c r="P271" s="6" t="s">
        <v>2606</v>
      </c>
      <c r="Q271" s="6" t="s">
        <v>2607</v>
      </c>
      <c r="R271" s="6" t="s">
        <v>135</v>
      </c>
      <c r="S271" s="6" t="s">
        <v>136</v>
      </c>
      <c r="T271" s="6">
        <v>143111.0</v>
      </c>
      <c r="U271" s="6" t="s">
        <v>138</v>
      </c>
      <c r="V271" s="6" t="s">
        <v>187</v>
      </c>
      <c r="W271" s="6" t="s">
        <v>141</v>
      </c>
      <c r="X271" s="6" t="s">
        <v>229</v>
      </c>
      <c r="Y271" s="6" t="s">
        <v>144</v>
      </c>
      <c r="Z271" s="28"/>
      <c r="AA271" s="12" t="s">
        <v>2467</v>
      </c>
      <c r="AB271" s="28"/>
      <c r="AC271" s="28"/>
      <c r="AD271" s="28"/>
      <c r="AE271" s="7"/>
      <c r="AF271" s="7"/>
    </row>
    <row r="272">
      <c r="A272" s="15">
        <v>271.0</v>
      </c>
      <c r="B272" s="84" t="s">
        <v>2456</v>
      </c>
      <c r="C272" s="17" t="s">
        <v>116</v>
      </c>
      <c r="D272" s="6">
        <v>2.020010040188E12</v>
      </c>
      <c r="E272" s="6">
        <v>1.1242011814E10</v>
      </c>
      <c r="F272" s="6" t="s">
        <v>2608</v>
      </c>
      <c r="G272" s="6" t="s">
        <v>299</v>
      </c>
      <c r="H272" s="7"/>
      <c r="I272" s="6" t="s">
        <v>164</v>
      </c>
      <c r="J272" s="6" t="s">
        <v>2609</v>
      </c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12" t="s">
        <v>2467</v>
      </c>
      <c r="AB272" s="7"/>
      <c r="AC272" s="7"/>
      <c r="AD272" s="7"/>
      <c r="AE272" s="7"/>
      <c r="AF272" s="86"/>
    </row>
    <row r="273">
      <c r="A273" s="15">
        <v>272.0</v>
      </c>
      <c r="B273" s="84" t="s">
        <v>2456</v>
      </c>
      <c r="C273" s="17" t="s">
        <v>116</v>
      </c>
      <c r="D273" s="6">
        <v>2.021010073686E12</v>
      </c>
      <c r="E273" s="6">
        <v>1.1242151317E10</v>
      </c>
      <c r="F273" s="6" t="s">
        <v>800</v>
      </c>
      <c r="G273" s="6" t="s">
        <v>2610</v>
      </c>
      <c r="H273" s="6" t="s">
        <v>1924</v>
      </c>
      <c r="I273" s="6" t="s">
        <v>126</v>
      </c>
      <c r="J273" s="6" t="s">
        <v>2611</v>
      </c>
      <c r="K273" s="6">
        <v>123456.0</v>
      </c>
      <c r="L273" s="6">
        <v>7.508163488E9</v>
      </c>
      <c r="M273" s="6">
        <v>9.056832191E9</v>
      </c>
      <c r="N273" s="6">
        <v>7.696626114E9</v>
      </c>
      <c r="O273" s="32">
        <v>38191.0</v>
      </c>
      <c r="P273" s="6" t="s">
        <v>2612</v>
      </c>
      <c r="Q273" s="6" t="s">
        <v>2613</v>
      </c>
      <c r="R273" s="6" t="s">
        <v>2190</v>
      </c>
      <c r="S273" s="6" t="s">
        <v>136</v>
      </c>
      <c r="T273" s="6">
        <v>142055.0</v>
      </c>
      <c r="U273" s="6" t="s">
        <v>138</v>
      </c>
      <c r="V273" s="6" t="s">
        <v>187</v>
      </c>
      <c r="W273" s="6" t="s">
        <v>141</v>
      </c>
      <c r="X273" s="6" t="s">
        <v>143</v>
      </c>
      <c r="Y273" s="6" t="s">
        <v>144</v>
      </c>
      <c r="Z273" s="28"/>
      <c r="AA273" s="12" t="s">
        <v>2467</v>
      </c>
      <c r="AB273" s="28"/>
      <c r="AC273" s="28"/>
      <c r="AD273" s="28"/>
      <c r="AE273" s="7"/>
      <c r="AF273" s="87" t="s">
        <v>2614</v>
      </c>
    </row>
    <row r="274">
      <c r="A274" s="15">
        <v>273.0</v>
      </c>
      <c r="B274" s="84" t="s">
        <v>2456</v>
      </c>
      <c r="C274" s="17" t="s">
        <v>116</v>
      </c>
      <c r="D274" s="6">
        <v>2.021010073627E12</v>
      </c>
      <c r="E274" s="6">
        <v>1.1242151313E10</v>
      </c>
      <c r="F274" s="6" t="s">
        <v>2615</v>
      </c>
      <c r="G274" s="6" t="s">
        <v>2616</v>
      </c>
      <c r="H274" s="7"/>
      <c r="I274" s="6" t="s">
        <v>164</v>
      </c>
      <c r="J274" s="6" t="s">
        <v>2617</v>
      </c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12" t="s">
        <v>2467</v>
      </c>
      <c r="AB274" s="7"/>
      <c r="AC274" s="7"/>
      <c r="AD274" s="7"/>
      <c r="AE274" s="7"/>
      <c r="AF274" s="86"/>
    </row>
    <row r="275">
      <c r="A275" s="15">
        <v>274.0</v>
      </c>
      <c r="B275" s="84" t="s">
        <v>2456</v>
      </c>
      <c r="C275" s="17" t="s">
        <v>116</v>
      </c>
      <c r="D275" s="6">
        <v>2.021010018168E12</v>
      </c>
      <c r="E275" s="6">
        <v>1.1242151309E10</v>
      </c>
      <c r="F275" s="6" t="s">
        <v>2618</v>
      </c>
      <c r="G275" s="6" t="s">
        <v>585</v>
      </c>
      <c r="H275" s="7"/>
      <c r="I275" s="6" t="s">
        <v>126</v>
      </c>
      <c r="J275" s="6" t="s">
        <v>2619</v>
      </c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12" t="s">
        <v>2467</v>
      </c>
      <c r="AB275" s="7"/>
      <c r="AC275" s="7"/>
      <c r="AD275" s="7"/>
      <c r="AE275" s="7"/>
      <c r="AF275" s="86"/>
    </row>
    <row r="276">
      <c r="A276" s="15">
        <v>275.0</v>
      </c>
      <c r="B276" s="84" t="s">
        <v>2456</v>
      </c>
      <c r="C276" s="17" t="s">
        <v>116</v>
      </c>
      <c r="D276" s="6">
        <v>2.021010073687E12</v>
      </c>
      <c r="E276" s="6">
        <v>1.1242151318E10</v>
      </c>
      <c r="F276" s="6" t="s">
        <v>2620</v>
      </c>
      <c r="G276" s="6" t="s">
        <v>2621</v>
      </c>
      <c r="H276" s="7"/>
      <c r="I276" s="6" t="s">
        <v>126</v>
      </c>
      <c r="J276" s="6" t="s">
        <v>2622</v>
      </c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12" t="s">
        <v>2467</v>
      </c>
      <c r="AB276" s="7"/>
      <c r="AC276" s="7"/>
      <c r="AD276" s="7"/>
      <c r="AE276" s="7"/>
      <c r="AF276" s="86"/>
    </row>
    <row r="277">
      <c r="A277" s="15">
        <v>276.0</v>
      </c>
      <c r="B277" s="84" t="s">
        <v>2456</v>
      </c>
      <c r="C277" s="17" t="s">
        <v>116</v>
      </c>
      <c r="D277" s="6">
        <v>2.021010015977E12</v>
      </c>
      <c r="E277" s="6">
        <v>1.1242151307E10</v>
      </c>
      <c r="F277" s="6" t="s">
        <v>2623</v>
      </c>
      <c r="G277" s="6" t="s">
        <v>2624</v>
      </c>
      <c r="H277" s="7"/>
      <c r="I277" s="6" t="s">
        <v>126</v>
      </c>
      <c r="J277" s="6" t="s">
        <v>2625</v>
      </c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12" t="s">
        <v>2467</v>
      </c>
      <c r="AB277" s="7"/>
      <c r="AC277" s="7"/>
      <c r="AD277" s="7"/>
      <c r="AE277" s="7"/>
      <c r="AF277" s="86"/>
    </row>
    <row r="278">
      <c r="A278" s="15">
        <v>277.0</v>
      </c>
      <c r="B278" s="84" t="s">
        <v>2456</v>
      </c>
      <c r="C278" s="17" t="s">
        <v>116</v>
      </c>
      <c r="D278" s="6">
        <v>2.02101001386E12</v>
      </c>
      <c r="E278" s="6">
        <v>1.1242151304E10</v>
      </c>
      <c r="F278" s="6" t="s">
        <v>2626</v>
      </c>
      <c r="G278" s="6" t="s">
        <v>1140</v>
      </c>
      <c r="H278" s="6" t="s">
        <v>2627</v>
      </c>
      <c r="I278" s="6" t="s">
        <v>126</v>
      </c>
      <c r="J278" s="6" t="s">
        <v>2628</v>
      </c>
      <c r="K278" s="6">
        <v>123456.0</v>
      </c>
      <c r="L278" s="6">
        <v>6.283651449E9</v>
      </c>
      <c r="M278" s="6">
        <v>9.464995736E9</v>
      </c>
      <c r="N278" s="6">
        <v>6.239096018E9</v>
      </c>
      <c r="O278" s="32">
        <v>38005.0</v>
      </c>
      <c r="P278" s="6" t="s">
        <v>2629</v>
      </c>
      <c r="Q278" s="6" t="s">
        <v>2630</v>
      </c>
      <c r="R278" s="6" t="s">
        <v>246</v>
      </c>
      <c r="S278" s="6" t="s">
        <v>136</v>
      </c>
      <c r="T278" s="6">
        <v>143534.0</v>
      </c>
      <c r="U278" s="6" t="s">
        <v>169</v>
      </c>
      <c r="V278" s="6" t="s">
        <v>156</v>
      </c>
      <c r="W278" s="6" t="s">
        <v>141</v>
      </c>
      <c r="X278" s="6" t="s">
        <v>965</v>
      </c>
      <c r="Y278" s="6" t="s">
        <v>251</v>
      </c>
      <c r="Z278" s="28"/>
      <c r="AA278" s="12" t="s">
        <v>2467</v>
      </c>
      <c r="AB278" s="28"/>
      <c r="AC278" s="28"/>
      <c r="AD278" s="28"/>
      <c r="AE278" s="7"/>
      <c r="AF278" s="87" t="s">
        <v>2631</v>
      </c>
    </row>
    <row r="279">
      <c r="A279" s="15">
        <v>278.0</v>
      </c>
      <c r="B279" s="84" t="s">
        <v>2456</v>
      </c>
      <c r="C279" s="17" t="s">
        <v>116</v>
      </c>
      <c r="D279" s="6">
        <v>2.020010011427E12</v>
      </c>
      <c r="E279" s="6">
        <v>1.1242011833E10</v>
      </c>
      <c r="F279" s="6" t="s">
        <v>2632</v>
      </c>
      <c r="G279" s="6" t="s">
        <v>299</v>
      </c>
      <c r="H279" s="7"/>
      <c r="I279" s="6" t="s">
        <v>164</v>
      </c>
      <c r="J279" s="6" t="s">
        <v>2633</v>
      </c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12" t="s">
        <v>2467</v>
      </c>
      <c r="AB279" s="7"/>
      <c r="AC279" s="7"/>
      <c r="AD279" s="7"/>
      <c r="AE279" s="7"/>
      <c r="AF279" s="86"/>
    </row>
    <row r="280">
      <c r="A280" s="15">
        <v>279.0</v>
      </c>
      <c r="B280" s="6" t="s">
        <v>2634</v>
      </c>
      <c r="C280" s="88" t="s">
        <v>2635</v>
      </c>
      <c r="D280" s="89">
        <v>2.012012010905E12</v>
      </c>
      <c r="E280" s="89">
        <v>1.2232524701E10</v>
      </c>
      <c r="F280" s="89" t="s">
        <v>2636</v>
      </c>
      <c r="G280" s="89" t="s">
        <v>2637</v>
      </c>
      <c r="H280" s="89" t="s">
        <v>2638</v>
      </c>
      <c r="I280" s="89" t="s">
        <v>126</v>
      </c>
      <c r="J280" s="89" t="s">
        <v>2639</v>
      </c>
      <c r="K280" s="89">
        <v>123456.0</v>
      </c>
      <c r="L280" s="89">
        <v>6.239393554E9</v>
      </c>
      <c r="M280" s="89">
        <v>9.877160277E9</v>
      </c>
      <c r="N280" s="89">
        <v>7.69634685E9</v>
      </c>
      <c r="O280" s="90">
        <v>34839.0</v>
      </c>
      <c r="P280" s="89" t="s">
        <v>2640</v>
      </c>
      <c r="Q280" s="89" t="s">
        <v>2641</v>
      </c>
      <c r="R280" s="89" t="s">
        <v>135</v>
      </c>
      <c r="S280" s="89" t="s">
        <v>136</v>
      </c>
      <c r="T280" s="89">
        <v>143001.0</v>
      </c>
      <c r="U280" s="89" t="s">
        <v>2064</v>
      </c>
      <c r="V280" s="91" t="s">
        <v>66</v>
      </c>
      <c r="W280" s="92" t="s">
        <v>141</v>
      </c>
      <c r="X280" s="93" t="s">
        <v>718</v>
      </c>
      <c r="Y280" s="89" t="s">
        <v>2642</v>
      </c>
      <c r="Z280" s="94"/>
      <c r="AA280" s="22" t="s">
        <v>2643</v>
      </c>
      <c r="AB280" s="7"/>
      <c r="AC280" s="7"/>
      <c r="AD280" s="7"/>
      <c r="AE280" s="7"/>
      <c r="AF280" s="95">
        <v>3.82610125242E11</v>
      </c>
    </row>
    <row r="281">
      <c r="A281" s="15">
        <v>280.0</v>
      </c>
      <c r="B281" s="6" t="s">
        <v>2634</v>
      </c>
      <c r="C281" s="88" t="s">
        <v>2635</v>
      </c>
      <c r="D281" s="96">
        <v>2.01201201285E12</v>
      </c>
      <c r="E281" s="96">
        <v>1.2232524702E10</v>
      </c>
      <c r="F281" s="96" t="s">
        <v>2644</v>
      </c>
      <c r="G281" s="96" t="s">
        <v>2645</v>
      </c>
      <c r="H281" s="96" t="s">
        <v>2646</v>
      </c>
      <c r="I281" s="96" t="s">
        <v>126</v>
      </c>
      <c r="J281" s="96" t="s">
        <v>2647</v>
      </c>
      <c r="K281" s="96">
        <v>123456.0</v>
      </c>
      <c r="L281" s="96">
        <v>9.4650019E9</v>
      </c>
      <c r="M281" s="96">
        <v>7.666500003E9</v>
      </c>
      <c r="N281" s="96">
        <v>7.666100003E9</v>
      </c>
      <c r="O281" s="97">
        <v>34430.0</v>
      </c>
      <c r="P281" s="96" t="s">
        <v>2648</v>
      </c>
      <c r="Q281" s="96" t="s">
        <v>2649</v>
      </c>
      <c r="R281" s="96" t="s">
        <v>135</v>
      </c>
      <c r="S281" s="96" t="s">
        <v>136</v>
      </c>
      <c r="T281" s="96">
        <v>143001.0</v>
      </c>
      <c r="U281" s="96" t="s">
        <v>2064</v>
      </c>
      <c r="V281" s="98" t="s">
        <v>2650</v>
      </c>
      <c r="W281" s="92" t="s">
        <v>141</v>
      </c>
      <c r="X281" s="96" t="s">
        <v>143</v>
      </c>
      <c r="Y281" s="96" t="s">
        <v>992</v>
      </c>
      <c r="Z281" s="94"/>
      <c r="AA281" s="22" t="s">
        <v>2643</v>
      </c>
      <c r="AB281" s="89"/>
      <c r="AC281" s="7"/>
      <c r="AD281" s="7"/>
      <c r="AE281" s="7"/>
      <c r="AF281" s="99">
        <v>6.18224367481E11</v>
      </c>
    </row>
    <row r="282">
      <c r="A282" s="15">
        <v>281.0</v>
      </c>
      <c r="B282" s="6" t="s">
        <v>2634</v>
      </c>
      <c r="C282" s="88" t="s">
        <v>2635</v>
      </c>
      <c r="D282" s="89">
        <v>2.012012131958E12</v>
      </c>
      <c r="E282" s="89">
        <v>1.2232524703E10</v>
      </c>
      <c r="F282" s="89" t="s">
        <v>1440</v>
      </c>
      <c r="G282" s="89" t="s">
        <v>572</v>
      </c>
      <c r="H282" s="89" t="s">
        <v>2651</v>
      </c>
      <c r="I282" s="89" t="s">
        <v>126</v>
      </c>
      <c r="J282" s="100" t="s">
        <v>2652</v>
      </c>
      <c r="K282" s="89">
        <v>123456.0</v>
      </c>
      <c r="L282" s="89">
        <v>9.501422177E9</v>
      </c>
      <c r="M282" s="89">
        <v>9.872904126E9</v>
      </c>
      <c r="N282" s="89">
        <v>9.501422177E9</v>
      </c>
      <c r="O282" s="90">
        <v>33802.0</v>
      </c>
      <c r="P282" s="89" t="s">
        <v>2653</v>
      </c>
      <c r="Q282" s="89" t="s">
        <v>2654</v>
      </c>
      <c r="R282" s="89" t="s">
        <v>1744</v>
      </c>
      <c r="S282" s="89" t="s">
        <v>296</v>
      </c>
      <c r="T282" s="89">
        <v>143009.0</v>
      </c>
      <c r="U282" s="89" t="s">
        <v>169</v>
      </c>
      <c r="V282" s="91" t="s">
        <v>2650</v>
      </c>
      <c r="W282" s="92" t="s">
        <v>141</v>
      </c>
      <c r="X282" s="89" t="s">
        <v>2655</v>
      </c>
      <c r="Y282" s="89" t="s">
        <v>2656</v>
      </c>
      <c r="Z282" s="94"/>
      <c r="AA282" s="22" t="s">
        <v>2643</v>
      </c>
      <c r="AB282" s="96"/>
      <c r="AC282" s="7"/>
      <c r="AD282" s="7"/>
      <c r="AE282" s="7"/>
      <c r="AF282" s="95">
        <v>3.28292262611E11</v>
      </c>
    </row>
    <row r="283">
      <c r="A283" s="15">
        <v>282.0</v>
      </c>
      <c r="B283" s="6" t="s">
        <v>2634</v>
      </c>
      <c r="C283" s="88" t="s">
        <v>2635</v>
      </c>
      <c r="D283" s="96">
        <v>2.015012103918E12</v>
      </c>
      <c r="E283" s="96">
        <v>1.2232524704E10</v>
      </c>
      <c r="F283" s="96" t="s">
        <v>2657</v>
      </c>
      <c r="G283" s="96" t="s">
        <v>2658</v>
      </c>
      <c r="H283" s="96" t="s">
        <v>2101</v>
      </c>
      <c r="I283" s="96" t="s">
        <v>164</v>
      </c>
      <c r="J283" s="96" t="s">
        <v>2659</v>
      </c>
      <c r="K283" s="96" t="s">
        <v>2660</v>
      </c>
      <c r="L283" s="96">
        <v>8.14619503E9</v>
      </c>
      <c r="M283" s="96">
        <v>8.14600454E9</v>
      </c>
      <c r="N283" s="96">
        <v>9.698610003E9</v>
      </c>
      <c r="O283" s="97">
        <v>35475.0</v>
      </c>
      <c r="P283" s="96" t="s">
        <v>2661</v>
      </c>
      <c r="Q283" s="96" t="s">
        <v>2662</v>
      </c>
      <c r="R283" s="96" t="s">
        <v>2663</v>
      </c>
      <c r="S283" s="96" t="s">
        <v>296</v>
      </c>
      <c r="T283" s="96">
        <v>143205.0</v>
      </c>
      <c r="U283" s="96" t="s">
        <v>991</v>
      </c>
      <c r="V283" s="101"/>
      <c r="W283" s="92" t="s">
        <v>141</v>
      </c>
      <c r="X283" s="96" t="s">
        <v>506</v>
      </c>
      <c r="Y283" s="96" t="s">
        <v>2656</v>
      </c>
      <c r="Z283" s="94"/>
      <c r="AA283" s="22" t="s">
        <v>2643</v>
      </c>
      <c r="AB283" s="89"/>
      <c r="AC283" s="7"/>
      <c r="AD283" s="7"/>
      <c r="AE283" s="7"/>
      <c r="AF283" s="99">
        <v>3.33642459003E11</v>
      </c>
    </row>
    <row r="284">
      <c r="A284" s="15">
        <v>283.0</v>
      </c>
      <c r="B284" s="6" t="s">
        <v>2634</v>
      </c>
      <c r="C284" s="88" t="s">
        <v>2635</v>
      </c>
      <c r="D284" s="89">
        <v>2.015012127891E12</v>
      </c>
      <c r="E284" s="89">
        <v>1.2232524705E10</v>
      </c>
      <c r="F284" s="89" t="s">
        <v>2664</v>
      </c>
      <c r="G284" s="89" t="s">
        <v>910</v>
      </c>
      <c r="H284" s="89" t="s">
        <v>2665</v>
      </c>
      <c r="I284" s="89" t="s">
        <v>164</v>
      </c>
      <c r="J284" s="89" t="s">
        <v>2666</v>
      </c>
      <c r="K284" s="89">
        <v>123456.0</v>
      </c>
      <c r="L284" s="89">
        <v>9.592225427E9</v>
      </c>
      <c r="M284" s="89">
        <v>8.42710092E9</v>
      </c>
      <c r="N284" s="89">
        <v>8.146546844E9</v>
      </c>
      <c r="O284" s="90">
        <v>33875.0</v>
      </c>
      <c r="P284" s="89" t="s">
        <v>2667</v>
      </c>
      <c r="Q284" s="89" t="s">
        <v>2668</v>
      </c>
      <c r="R284" s="89" t="s">
        <v>437</v>
      </c>
      <c r="S284" s="89" t="s">
        <v>136</v>
      </c>
      <c r="T284" s="89">
        <v>143407.0</v>
      </c>
      <c r="U284" s="92" t="s">
        <v>2669</v>
      </c>
      <c r="V284" s="102"/>
      <c r="W284" s="92" t="s">
        <v>141</v>
      </c>
      <c r="X284" s="89" t="s">
        <v>2670</v>
      </c>
      <c r="Y284" s="89" t="s">
        <v>2656</v>
      </c>
      <c r="Z284" s="94"/>
      <c r="AA284" s="22" t="s">
        <v>2643</v>
      </c>
      <c r="AB284" s="96"/>
      <c r="AC284" s="7"/>
      <c r="AD284" s="7"/>
      <c r="AE284" s="7"/>
      <c r="AF284" s="95">
        <v>3.60371644724E11</v>
      </c>
    </row>
    <row r="285">
      <c r="A285" s="15">
        <v>284.0</v>
      </c>
      <c r="B285" s="6" t="s">
        <v>2634</v>
      </c>
      <c r="C285" s="88" t="s">
        <v>2635</v>
      </c>
      <c r="D285" s="96">
        <v>2.016012126783E12</v>
      </c>
      <c r="E285" s="96">
        <v>1.2232524706E10</v>
      </c>
      <c r="F285" s="96" t="s">
        <v>2671</v>
      </c>
      <c r="G285" s="96" t="s">
        <v>2672</v>
      </c>
      <c r="H285" s="96" t="s">
        <v>2673</v>
      </c>
      <c r="I285" s="96" t="s">
        <v>164</v>
      </c>
      <c r="J285" s="96" t="s">
        <v>2674</v>
      </c>
      <c r="K285" s="96">
        <v>123456.0</v>
      </c>
      <c r="L285" s="96">
        <v>9.501043906E9</v>
      </c>
      <c r="M285" s="96">
        <v>7.528817537E9</v>
      </c>
      <c r="N285" s="96">
        <v>9.878619869E9</v>
      </c>
      <c r="O285" s="97">
        <v>35534.0</v>
      </c>
      <c r="P285" s="96" t="s">
        <v>2675</v>
      </c>
      <c r="Q285" s="96" t="s">
        <v>2676</v>
      </c>
      <c r="R285" s="96" t="s">
        <v>135</v>
      </c>
      <c r="S285" s="96" t="s">
        <v>136</v>
      </c>
      <c r="T285" s="96">
        <v>143601.0</v>
      </c>
      <c r="U285" s="96" t="s">
        <v>2064</v>
      </c>
      <c r="V285" s="101"/>
      <c r="W285" s="92" t="s">
        <v>141</v>
      </c>
      <c r="X285" s="96" t="s">
        <v>143</v>
      </c>
      <c r="Y285" s="96" t="s">
        <v>2677</v>
      </c>
      <c r="Z285" s="94"/>
      <c r="AA285" s="22" t="s">
        <v>2643</v>
      </c>
      <c r="AB285" s="89"/>
      <c r="AC285" s="7"/>
      <c r="AD285" s="7"/>
      <c r="AE285" s="7"/>
      <c r="AF285" s="99">
        <v>6.98246506056E11</v>
      </c>
    </row>
    <row r="286">
      <c r="A286" s="15">
        <v>285.0</v>
      </c>
      <c r="B286" s="6" t="s">
        <v>2634</v>
      </c>
      <c r="C286" s="88" t="s">
        <v>2635</v>
      </c>
      <c r="D286" s="89">
        <v>2.01810002995E11</v>
      </c>
      <c r="E286" s="89">
        <v>1.2232524707E10</v>
      </c>
      <c r="F286" s="89" t="s">
        <v>2567</v>
      </c>
      <c r="G286" s="89" t="s">
        <v>2678</v>
      </c>
      <c r="H286" s="89" t="s">
        <v>2679</v>
      </c>
      <c r="I286" s="89" t="s">
        <v>126</v>
      </c>
      <c r="J286" s="89" t="s">
        <v>2680</v>
      </c>
      <c r="K286" s="89">
        <v>123456.0</v>
      </c>
      <c r="L286" s="89">
        <v>7.888411478E9</v>
      </c>
      <c r="M286" s="89">
        <v>9.988380321E9</v>
      </c>
      <c r="N286" s="89" t="s">
        <v>2681</v>
      </c>
      <c r="O286" s="90">
        <v>36289.0</v>
      </c>
      <c r="P286" s="89" t="s">
        <v>2682</v>
      </c>
      <c r="Q286" s="89" t="s">
        <v>2683</v>
      </c>
      <c r="R286" s="89" t="s">
        <v>2684</v>
      </c>
      <c r="S286" s="89" t="s">
        <v>136</v>
      </c>
      <c r="T286" s="89">
        <v>143001.0</v>
      </c>
      <c r="U286" s="89" t="s">
        <v>991</v>
      </c>
      <c r="V286" s="102"/>
      <c r="W286" s="92" t="s">
        <v>141</v>
      </c>
      <c r="X286" s="89" t="s">
        <v>159</v>
      </c>
      <c r="Y286" s="89" t="s">
        <v>2642</v>
      </c>
      <c r="Z286" s="94"/>
      <c r="AA286" s="22" t="s">
        <v>2643</v>
      </c>
      <c r="AB286" s="96"/>
      <c r="AC286" s="7"/>
      <c r="AD286" s="7"/>
      <c r="AE286" s="7"/>
      <c r="AF286" s="95">
        <v>4.87770749781E11</v>
      </c>
    </row>
    <row r="287">
      <c r="A287" s="15">
        <v>286.0</v>
      </c>
      <c r="B287" s="6" t="s">
        <v>2634</v>
      </c>
      <c r="C287" s="88" t="s">
        <v>2635</v>
      </c>
      <c r="D287" s="96">
        <v>2.019010015786E12</v>
      </c>
      <c r="E287" s="96">
        <v>1.2232524708E10</v>
      </c>
      <c r="F287" s="96" t="s">
        <v>2685</v>
      </c>
      <c r="G287" s="96" t="s">
        <v>2686</v>
      </c>
      <c r="H287" s="96" t="s">
        <v>2687</v>
      </c>
      <c r="I287" s="96" t="s">
        <v>164</v>
      </c>
      <c r="J287" s="96" t="s">
        <v>2688</v>
      </c>
      <c r="K287" s="96">
        <v>123456.0</v>
      </c>
      <c r="L287" s="96">
        <v>9.815300944E9</v>
      </c>
      <c r="M287" s="96">
        <v>9.8786368E9</v>
      </c>
      <c r="N287" s="96">
        <v>9.464020978E9</v>
      </c>
      <c r="O287" s="97">
        <v>36562.0</v>
      </c>
      <c r="P287" s="96" t="s">
        <v>2689</v>
      </c>
      <c r="Q287" s="96" t="s">
        <v>2690</v>
      </c>
      <c r="R287" s="96" t="s">
        <v>1259</v>
      </c>
      <c r="S287" s="96" t="s">
        <v>136</v>
      </c>
      <c r="T287" s="96">
        <v>143001.0</v>
      </c>
      <c r="U287" s="96" t="s">
        <v>2691</v>
      </c>
      <c r="V287" s="101"/>
      <c r="W287" s="92" t="s">
        <v>141</v>
      </c>
      <c r="X287" s="96" t="s">
        <v>143</v>
      </c>
      <c r="Y287" s="96" t="s">
        <v>2692</v>
      </c>
      <c r="Z287" s="94"/>
      <c r="AA287" s="22" t="s">
        <v>2643</v>
      </c>
      <c r="AB287" s="89"/>
      <c r="AC287" s="7"/>
      <c r="AD287" s="7"/>
      <c r="AE287" s="7"/>
      <c r="AF287" s="99" t="s">
        <v>2693</v>
      </c>
    </row>
    <row r="288">
      <c r="A288" s="15">
        <v>287.0</v>
      </c>
      <c r="B288" s="6" t="s">
        <v>2634</v>
      </c>
      <c r="C288" s="88" t="s">
        <v>2635</v>
      </c>
      <c r="D288" s="89">
        <v>2.019010028445E12</v>
      </c>
      <c r="E288" s="89">
        <v>1.2232524709E10</v>
      </c>
      <c r="F288" s="89" t="s">
        <v>2694</v>
      </c>
      <c r="G288" s="89" t="s">
        <v>2695</v>
      </c>
      <c r="H288" s="89" t="s">
        <v>2696</v>
      </c>
      <c r="I288" s="89" t="s">
        <v>126</v>
      </c>
      <c r="J288" s="89" t="s">
        <v>2697</v>
      </c>
      <c r="K288" s="89" t="s">
        <v>2698</v>
      </c>
      <c r="L288" s="89">
        <v>7.681951639E9</v>
      </c>
      <c r="M288" s="89">
        <v>8.968414593E9</v>
      </c>
      <c r="N288" s="89">
        <v>7.589797452E9</v>
      </c>
      <c r="O288" s="90">
        <v>36814.0</v>
      </c>
      <c r="P288" s="89" t="s">
        <v>2699</v>
      </c>
      <c r="Q288" s="89" t="s">
        <v>2700</v>
      </c>
      <c r="R288" s="89" t="s">
        <v>2701</v>
      </c>
      <c r="S288" s="89" t="s">
        <v>136</v>
      </c>
      <c r="T288" s="89">
        <v>145025.0</v>
      </c>
      <c r="U288" s="89" t="s">
        <v>2691</v>
      </c>
      <c r="V288" s="91" t="s">
        <v>2650</v>
      </c>
      <c r="W288" s="92" t="s">
        <v>141</v>
      </c>
      <c r="X288" s="89" t="s">
        <v>2702</v>
      </c>
      <c r="Y288" s="89" t="s">
        <v>992</v>
      </c>
      <c r="Z288" s="94"/>
      <c r="AA288" s="22" t="s">
        <v>2643</v>
      </c>
      <c r="AB288" s="96"/>
      <c r="AC288" s="7"/>
      <c r="AD288" s="7"/>
      <c r="AE288" s="7"/>
      <c r="AF288" s="95">
        <v>6.86591127765E11</v>
      </c>
    </row>
    <row r="289">
      <c r="A289" s="15">
        <v>288.0</v>
      </c>
      <c r="B289" s="6" t="s">
        <v>2634</v>
      </c>
      <c r="C289" s="88" t="s">
        <v>2635</v>
      </c>
      <c r="D289" s="96">
        <v>2.020010000035E12</v>
      </c>
      <c r="E289" s="96">
        <v>1.223252471E10</v>
      </c>
      <c r="F289" s="96" t="s">
        <v>2703</v>
      </c>
      <c r="G289" s="96" t="s">
        <v>2704</v>
      </c>
      <c r="H289" s="96" t="s">
        <v>2705</v>
      </c>
      <c r="I289" s="96" t="s">
        <v>126</v>
      </c>
      <c r="J289" s="96" t="s">
        <v>2706</v>
      </c>
      <c r="K289" s="96" t="s">
        <v>2707</v>
      </c>
      <c r="L289" s="96">
        <v>7.087601868E9</v>
      </c>
      <c r="M289" s="96">
        <v>9.814975522E9</v>
      </c>
      <c r="N289" s="96">
        <v>7.347616154E9</v>
      </c>
      <c r="O289" s="97">
        <v>37474.0</v>
      </c>
      <c r="P289" s="96" t="s">
        <v>2708</v>
      </c>
      <c r="Q289" s="96" t="s">
        <v>2709</v>
      </c>
      <c r="R289" s="96" t="s">
        <v>2684</v>
      </c>
      <c r="S289" s="96" t="s">
        <v>136</v>
      </c>
      <c r="T289" s="96">
        <v>143001.0</v>
      </c>
      <c r="U289" s="96" t="s">
        <v>2064</v>
      </c>
      <c r="V289" s="101"/>
      <c r="W289" s="92" t="s">
        <v>141</v>
      </c>
      <c r="X289" s="96" t="s">
        <v>208</v>
      </c>
      <c r="Y289" s="96" t="s">
        <v>992</v>
      </c>
      <c r="Z289" s="94"/>
      <c r="AA289" s="22" t="s">
        <v>2643</v>
      </c>
      <c r="AB289" s="89"/>
      <c r="AC289" s="7"/>
      <c r="AD289" s="7"/>
      <c r="AE289" s="7"/>
      <c r="AF289" s="99">
        <v>5.92390200658E11</v>
      </c>
    </row>
    <row r="290">
      <c r="A290" s="15">
        <v>289.0</v>
      </c>
      <c r="B290" s="6" t="s">
        <v>2634</v>
      </c>
      <c r="C290" s="88" t="s">
        <v>2635</v>
      </c>
      <c r="D290" s="89">
        <v>2.020010003204E12</v>
      </c>
      <c r="E290" s="89">
        <v>1.2232524712E10</v>
      </c>
      <c r="F290" s="89" t="s">
        <v>2710</v>
      </c>
      <c r="G290" s="89" t="s">
        <v>2711</v>
      </c>
      <c r="H290" s="89" t="s">
        <v>2712</v>
      </c>
      <c r="I290" s="89" t="s">
        <v>164</v>
      </c>
      <c r="J290" s="89" t="s">
        <v>2713</v>
      </c>
      <c r="K290" s="89">
        <v>123456.0</v>
      </c>
      <c r="L290" s="89">
        <v>9.877590995E9</v>
      </c>
      <c r="M290" s="89">
        <v>9.877590995E9</v>
      </c>
      <c r="N290" s="89">
        <v>9.877590995E9</v>
      </c>
      <c r="O290" s="90">
        <v>37308.0</v>
      </c>
      <c r="P290" s="89" t="s">
        <v>2714</v>
      </c>
      <c r="Q290" s="89" t="s">
        <v>2715</v>
      </c>
      <c r="R290" s="89" t="s">
        <v>2684</v>
      </c>
      <c r="S290" s="89" t="s">
        <v>136</v>
      </c>
      <c r="T290" s="89">
        <v>143105.0</v>
      </c>
      <c r="U290" s="89" t="s">
        <v>1598</v>
      </c>
      <c r="V290" s="102"/>
      <c r="W290" s="92" t="s">
        <v>141</v>
      </c>
      <c r="X290" s="89" t="s">
        <v>208</v>
      </c>
      <c r="Y290" s="89" t="s">
        <v>2716</v>
      </c>
      <c r="Z290" s="94"/>
      <c r="AA290" s="22" t="s">
        <v>2643</v>
      </c>
      <c r="AB290" s="96"/>
      <c r="AC290" s="7"/>
      <c r="AD290" s="7"/>
      <c r="AE290" s="7"/>
      <c r="AF290" s="95">
        <v>4.08525083311E11</v>
      </c>
    </row>
    <row r="291">
      <c r="A291" s="15">
        <v>290.0</v>
      </c>
      <c r="B291" s="6" t="s">
        <v>2634</v>
      </c>
      <c r="C291" s="88" t="s">
        <v>2635</v>
      </c>
      <c r="D291" s="96">
        <v>2.020010005676E12</v>
      </c>
      <c r="E291" s="96">
        <v>1.2232524713E10</v>
      </c>
      <c r="F291" s="96" t="s">
        <v>2717</v>
      </c>
      <c r="G291" s="96" t="s">
        <v>2718</v>
      </c>
      <c r="H291" s="96" t="s">
        <v>2719</v>
      </c>
      <c r="I291" s="96" t="s">
        <v>164</v>
      </c>
      <c r="J291" s="96" t="s">
        <v>2720</v>
      </c>
      <c r="K291" s="96">
        <v>123456.0</v>
      </c>
      <c r="L291" s="96">
        <v>7.97383065E9</v>
      </c>
      <c r="M291" s="96">
        <v>7.97383065E9</v>
      </c>
      <c r="N291" s="96">
        <v>7.97383065E9</v>
      </c>
      <c r="O291" s="97">
        <v>36576.0</v>
      </c>
      <c r="P291" s="96" t="s">
        <v>2721</v>
      </c>
      <c r="Q291" s="96" t="s">
        <v>2722</v>
      </c>
      <c r="R291" s="96" t="s">
        <v>1744</v>
      </c>
      <c r="S291" s="96" t="s">
        <v>296</v>
      </c>
      <c r="T291" s="96">
        <v>143001.0</v>
      </c>
      <c r="U291" s="96" t="s">
        <v>2064</v>
      </c>
      <c r="V291" s="101"/>
      <c r="W291" s="92" t="s">
        <v>141</v>
      </c>
      <c r="X291" s="96" t="s">
        <v>2723</v>
      </c>
      <c r="Y291" s="96" t="s">
        <v>2656</v>
      </c>
      <c r="Z291" s="94"/>
      <c r="AA291" s="22" t="s">
        <v>2643</v>
      </c>
      <c r="AB291" s="89"/>
      <c r="AC291" s="7"/>
      <c r="AD291" s="7"/>
      <c r="AE291" s="7"/>
      <c r="AF291" s="99">
        <v>2.53534948561E11</v>
      </c>
    </row>
    <row r="292">
      <c r="A292" s="15">
        <v>291.0</v>
      </c>
      <c r="B292" s="6" t="s">
        <v>2634</v>
      </c>
      <c r="C292" s="88" t="s">
        <v>2635</v>
      </c>
      <c r="D292" s="89">
        <v>2.0200100438E11</v>
      </c>
      <c r="E292" s="89">
        <v>1.2232524714E10</v>
      </c>
      <c r="F292" s="89" t="s">
        <v>2724</v>
      </c>
      <c r="G292" s="89" t="s">
        <v>2725</v>
      </c>
      <c r="H292" s="89" t="s">
        <v>2726</v>
      </c>
      <c r="I292" s="89" t="s">
        <v>126</v>
      </c>
      <c r="J292" s="89" t="s">
        <v>2727</v>
      </c>
      <c r="K292" s="89">
        <v>123456.0</v>
      </c>
      <c r="L292" s="89" t="s">
        <v>2728</v>
      </c>
      <c r="M292" s="89" t="s">
        <v>2729</v>
      </c>
      <c r="N292" s="89" t="s">
        <v>2730</v>
      </c>
      <c r="O292" s="90">
        <v>37636.0</v>
      </c>
      <c r="P292" s="89" t="s">
        <v>2731</v>
      </c>
      <c r="Q292" s="89" t="s">
        <v>2732</v>
      </c>
      <c r="R292" s="89" t="s">
        <v>2733</v>
      </c>
      <c r="S292" s="89" t="s">
        <v>136</v>
      </c>
      <c r="T292" s="89">
        <v>143401.0</v>
      </c>
      <c r="U292" s="89" t="s">
        <v>2691</v>
      </c>
      <c r="V292" s="102"/>
      <c r="W292" s="92" t="s">
        <v>141</v>
      </c>
      <c r="X292" s="89" t="s">
        <v>143</v>
      </c>
      <c r="Y292" s="89" t="s">
        <v>2734</v>
      </c>
      <c r="Z292" s="94"/>
      <c r="AA292" s="22" t="s">
        <v>2643</v>
      </c>
      <c r="AB292" s="96"/>
      <c r="AC292" s="7"/>
      <c r="AD292" s="7"/>
      <c r="AE292" s="7"/>
      <c r="AF292" s="95">
        <v>9.38947520072E11</v>
      </c>
    </row>
    <row r="293">
      <c r="A293" s="15">
        <v>292.0</v>
      </c>
      <c r="B293" s="6" t="s">
        <v>2634</v>
      </c>
      <c r="C293" s="88" t="s">
        <v>2635</v>
      </c>
      <c r="D293" s="96">
        <v>2.021010012978E12</v>
      </c>
      <c r="E293" s="96">
        <v>1.2232524715E10</v>
      </c>
      <c r="F293" s="96" t="s">
        <v>2735</v>
      </c>
      <c r="G293" s="96" t="s">
        <v>2736</v>
      </c>
      <c r="H293" s="96" t="s">
        <v>2737</v>
      </c>
      <c r="I293" s="96" t="s">
        <v>164</v>
      </c>
      <c r="J293" s="96" t="s">
        <v>2738</v>
      </c>
      <c r="K293" s="96" t="s">
        <v>2739</v>
      </c>
      <c r="L293" s="96">
        <v>9.501580479E9</v>
      </c>
      <c r="M293" s="96">
        <v>9.914510479E9</v>
      </c>
      <c r="N293" s="96">
        <v>9.914420479E9</v>
      </c>
      <c r="O293" s="97">
        <v>37784.0</v>
      </c>
      <c r="P293" s="96" t="s">
        <v>2740</v>
      </c>
      <c r="Q293" s="96" t="s">
        <v>2741</v>
      </c>
      <c r="R293" s="96" t="s">
        <v>2742</v>
      </c>
      <c r="S293" s="96" t="s">
        <v>296</v>
      </c>
      <c r="T293" s="96">
        <v>143115.0</v>
      </c>
      <c r="U293" s="96" t="s">
        <v>169</v>
      </c>
      <c r="V293" s="101"/>
      <c r="W293" s="92" t="s">
        <v>141</v>
      </c>
      <c r="X293" s="96" t="s">
        <v>2743</v>
      </c>
      <c r="Y293" s="96" t="s">
        <v>2744</v>
      </c>
      <c r="Z293" s="94"/>
      <c r="AA293" s="22" t="s">
        <v>2643</v>
      </c>
      <c r="AB293" s="89"/>
      <c r="AC293" s="7"/>
      <c r="AD293" s="7"/>
      <c r="AE293" s="7"/>
      <c r="AF293" s="99">
        <v>9.43271754832E11</v>
      </c>
    </row>
    <row r="294">
      <c r="A294" s="15">
        <v>293.0</v>
      </c>
      <c r="B294" s="6" t="s">
        <v>2634</v>
      </c>
      <c r="C294" s="88" t="s">
        <v>2635</v>
      </c>
      <c r="D294" s="89">
        <v>2.021010013013E12</v>
      </c>
      <c r="E294" s="89">
        <v>1.2232524716E10</v>
      </c>
      <c r="F294" s="89" t="s">
        <v>2745</v>
      </c>
      <c r="G294" s="89" t="s">
        <v>2746</v>
      </c>
      <c r="H294" s="89" t="s">
        <v>2747</v>
      </c>
      <c r="I294" s="89" t="s">
        <v>126</v>
      </c>
      <c r="J294" s="89" t="s">
        <v>2748</v>
      </c>
      <c r="K294" s="89">
        <v>123456.0</v>
      </c>
      <c r="L294" s="89">
        <v>7.650011011E9</v>
      </c>
      <c r="M294" s="89">
        <v>9.816080706E9</v>
      </c>
      <c r="N294" s="89">
        <v>7.832980706E9</v>
      </c>
      <c r="O294" s="90">
        <v>37851.0</v>
      </c>
      <c r="P294" s="89" t="s">
        <v>2749</v>
      </c>
      <c r="Q294" s="89" t="s">
        <v>2750</v>
      </c>
      <c r="R294" s="89" t="s">
        <v>2751</v>
      </c>
      <c r="S294" s="89" t="s">
        <v>2752</v>
      </c>
      <c r="T294" s="89">
        <v>176202.0</v>
      </c>
      <c r="U294" s="89" t="s">
        <v>2691</v>
      </c>
      <c r="V294" s="102"/>
      <c r="W294" s="92" t="s">
        <v>141</v>
      </c>
      <c r="X294" s="89" t="s">
        <v>143</v>
      </c>
      <c r="Y294" s="89" t="s">
        <v>2692</v>
      </c>
      <c r="Z294" s="94"/>
      <c r="AA294" s="22" t="s">
        <v>2643</v>
      </c>
      <c r="AB294" s="96"/>
      <c r="AC294" s="7"/>
      <c r="AD294" s="7"/>
      <c r="AE294" s="7"/>
      <c r="AF294" s="95" t="s">
        <v>2753</v>
      </c>
    </row>
    <row r="295">
      <c r="A295" s="15">
        <v>294.0</v>
      </c>
      <c r="B295" s="6" t="s">
        <v>2634</v>
      </c>
      <c r="C295" s="88" t="s">
        <v>2635</v>
      </c>
      <c r="D295" s="96">
        <v>2.021010077895E12</v>
      </c>
      <c r="E295" s="96">
        <v>1.2232524717E10</v>
      </c>
      <c r="F295" s="96" t="s">
        <v>2754</v>
      </c>
      <c r="G295" s="96" t="s">
        <v>653</v>
      </c>
      <c r="H295" s="96" t="s">
        <v>2755</v>
      </c>
      <c r="I295" s="96" t="s">
        <v>164</v>
      </c>
      <c r="J295" s="96" t="s">
        <v>2756</v>
      </c>
      <c r="K295" s="96" t="s">
        <v>2757</v>
      </c>
      <c r="L295" s="96">
        <v>9.888037362E9</v>
      </c>
      <c r="M295" s="96">
        <v>8.360949488E9</v>
      </c>
      <c r="N295" s="96">
        <v>9.878225225E9</v>
      </c>
      <c r="O295" s="97">
        <v>29799.0</v>
      </c>
      <c r="P295" s="96" t="s">
        <v>2758</v>
      </c>
      <c r="Q295" s="96" t="s">
        <v>2759</v>
      </c>
      <c r="R295" s="96" t="s">
        <v>135</v>
      </c>
      <c r="S295" s="96" t="s">
        <v>136</v>
      </c>
      <c r="T295" s="96">
        <v>143001.0</v>
      </c>
      <c r="U295" s="96" t="s">
        <v>2064</v>
      </c>
      <c r="V295" s="101"/>
      <c r="W295" s="92" t="s">
        <v>141</v>
      </c>
      <c r="X295" s="96" t="s">
        <v>506</v>
      </c>
      <c r="Y295" s="96" t="s">
        <v>2642</v>
      </c>
      <c r="Z295" s="94"/>
      <c r="AA295" s="22" t="s">
        <v>2643</v>
      </c>
      <c r="AB295" s="89"/>
      <c r="AC295" s="7"/>
      <c r="AD295" s="7"/>
      <c r="AE295" s="7"/>
      <c r="AF295" s="99">
        <v>6.41343790462E11</v>
      </c>
    </row>
    <row r="296">
      <c r="A296" s="15">
        <v>295.0</v>
      </c>
      <c r="B296" s="6" t="s">
        <v>2634</v>
      </c>
      <c r="C296" s="88" t="s">
        <v>2635</v>
      </c>
      <c r="D296" s="89">
        <v>2.022010015056E12</v>
      </c>
      <c r="E296" s="89">
        <v>1.2232524718E10</v>
      </c>
      <c r="F296" s="89" t="s">
        <v>2760</v>
      </c>
      <c r="G296" s="89" t="s">
        <v>2761</v>
      </c>
      <c r="H296" s="89" t="s">
        <v>2762</v>
      </c>
      <c r="I296" s="89" t="s">
        <v>126</v>
      </c>
      <c r="J296" s="89" t="s">
        <v>2763</v>
      </c>
      <c r="K296" s="89">
        <v>123456.0</v>
      </c>
      <c r="L296" s="89">
        <v>8.699667605E9</v>
      </c>
      <c r="M296" s="89">
        <v>8.699003588E9</v>
      </c>
      <c r="N296" s="89">
        <v>8.360632935E9</v>
      </c>
      <c r="O296" s="90">
        <v>37810.0</v>
      </c>
      <c r="P296" s="89" t="s">
        <v>2764</v>
      </c>
      <c r="Q296" s="89" t="s">
        <v>2765</v>
      </c>
      <c r="R296" s="89" t="s">
        <v>2701</v>
      </c>
      <c r="S296" s="89" t="s">
        <v>2766</v>
      </c>
      <c r="T296" s="89">
        <v>145001.0</v>
      </c>
      <c r="U296" s="89" t="s">
        <v>2691</v>
      </c>
      <c r="V296" s="91" t="s">
        <v>2650</v>
      </c>
      <c r="W296" s="92" t="s">
        <v>141</v>
      </c>
      <c r="X296" s="89" t="s">
        <v>208</v>
      </c>
      <c r="Y296" s="89" t="s">
        <v>992</v>
      </c>
      <c r="Z296" s="94"/>
      <c r="AA296" s="22" t="s">
        <v>2643</v>
      </c>
      <c r="AB296" s="96"/>
      <c r="AC296" s="7"/>
      <c r="AD296" s="7"/>
      <c r="AE296" s="7"/>
      <c r="AF296" s="95">
        <v>2.93124292486E11</v>
      </c>
    </row>
    <row r="297">
      <c r="A297" s="15">
        <v>296.0</v>
      </c>
      <c r="B297" s="6" t="s">
        <v>2634</v>
      </c>
      <c r="C297" s="88" t="s">
        <v>2635</v>
      </c>
      <c r="D297" s="96">
        <v>2.022010025972E12</v>
      </c>
      <c r="E297" s="96">
        <v>1.2232524719E10</v>
      </c>
      <c r="F297" s="96" t="s">
        <v>2767</v>
      </c>
      <c r="G297" s="96" t="s">
        <v>2768</v>
      </c>
      <c r="H297" s="96" t="s">
        <v>2769</v>
      </c>
      <c r="I297" s="96" t="s">
        <v>164</v>
      </c>
      <c r="J297" s="96" t="s">
        <v>2770</v>
      </c>
      <c r="K297" s="96">
        <v>123456.0</v>
      </c>
      <c r="L297" s="96">
        <v>9.46539359E9</v>
      </c>
      <c r="M297" s="96">
        <v>9.46539359E9</v>
      </c>
      <c r="N297" s="96">
        <v>9.46539359E9</v>
      </c>
      <c r="O297" s="97">
        <v>38089.0</v>
      </c>
      <c r="P297" s="96" t="s">
        <v>2771</v>
      </c>
      <c r="Q297" s="96" t="s">
        <v>2772</v>
      </c>
      <c r="R297" s="96" t="s">
        <v>135</v>
      </c>
      <c r="S297" s="96" t="s">
        <v>136</v>
      </c>
      <c r="T297" s="96">
        <v>143001.0</v>
      </c>
      <c r="U297" s="96" t="s">
        <v>2691</v>
      </c>
      <c r="V297" s="101"/>
      <c r="W297" s="92" t="s">
        <v>141</v>
      </c>
      <c r="X297" s="96" t="s">
        <v>159</v>
      </c>
      <c r="Y297" s="96" t="s">
        <v>2642</v>
      </c>
      <c r="Z297" s="94"/>
      <c r="AA297" s="22" t="s">
        <v>2643</v>
      </c>
      <c r="AB297" s="89"/>
      <c r="AC297" s="7"/>
      <c r="AD297" s="7"/>
      <c r="AE297" s="7"/>
      <c r="AF297" s="99">
        <v>7.76075575966E11</v>
      </c>
    </row>
    <row r="298">
      <c r="A298" s="15">
        <v>297.0</v>
      </c>
      <c r="B298" s="6" t="s">
        <v>2634</v>
      </c>
      <c r="C298" s="88" t="s">
        <v>2635</v>
      </c>
      <c r="D298" s="89">
        <v>2.022010045356E12</v>
      </c>
      <c r="E298" s="89">
        <v>1.223252472E10</v>
      </c>
      <c r="F298" s="89" t="s">
        <v>2773</v>
      </c>
      <c r="G298" s="89" t="s">
        <v>2774</v>
      </c>
      <c r="H298" s="89" t="s">
        <v>2775</v>
      </c>
      <c r="I298" s="89" t="s">
        <v>126</v>
      </c>
      <c r="J298" s="89" t="s">
        <v>2776</v>
      </c>
      <c r="K298" s="89">
        <v>123456.0</v>
      </c>
      <c r="L298" s="89">
        <v>7.986348058E9</v>
      </c>
      <c r="M298" s="89">
        <v>9.115448058E9</v>
      </c>
      <c r="N298" s="89">
        <v>7.973702006E9</v>
      </c>
      <c r="O298" s="90">
        <v>37773.0</v>
      </c>
      <c r="P298" s="89" t="s">
        <v>2777</v>
      </c>
      <c r="Q298" s="89" t="s">
        <v>2778</v>
      </c>
      <c r="R298" s="89" t="s">
        <v>2779</v>
      </c>
      <c r="S298" s="89" t="s">
        <v>2766</v>
      </c>
      <c r="T298" s="89">
        <v>143407.0</v>
      </c>
      <c r="U298" s="89" t="s">
        <v>2691</v>
      </c>
      <c r="V298" s="102"/>
      <c r="W298" s="92" t="s">
        <v>141</v>
      </c>
      <c r="X298" s="89" t="s">
        <v>229</v>
      </c>
      <c r="Y298" s="89" t="s">
        <v>2780</v>
      </c>
      <c r="Z298" s="94"/>
      <c r="AA298" s="22" t="s">
        <v>2643</v>
      </c>
      <c r="AB298" s="96"/>
      <c r="AC298" s="7"/>
      <c r="AD298" s="7"/>
      <c r="AE298" s="7"/>
      <c r="AF298" s="95">
        <v>7.57363799337E11</v>
      </c>
    </row>
    <row r="299">
      <c r="A299" s="15">
        <v>298.0</v>
      </c>
      <c r="B299" s="6" t="s">
        <v>2634</v>
      </c>
      <c r="C299" s="88" t="s">
        <v>2635</v>
      </c>
      <c r="D299" s="96">
        <v>2.022010048446E12</v>
      </c>
      <c r="E299" s="96">
        <v>1.2232524721E10</v>
      </c>
      <c r="F299" s="96" t="s">
        <v>2781</v>
      </c>
      <c r="G299" s="96" t="s">
        <v>2782</v>
      </c>
      <c r="H299" s="96" t="s">
        <v>2783</v>
      </c>
      <c r="I299" s="96" t="s">
        <v>164</v>
      </c>
      <c r="J299" s="103" t="s">
        <v>2784</v>
      </c>
      <c r="K299" s="96" t="s">
        <v>2785</v>
      </c>
      <c r="L299" s="96">
        <v>9.803277777E9</v>
      </c>
      <c r="M299" s="96">
        <v>9.878420007E9</v>
      </c>
      <c r="N299" s="96">
        <v>9.8783207E9</v>
      </c>
      <c r="O299" s="97">
        <v>37775.0</v>
      </c>
      <c r="P299" s="96" t="s">
        <v>2786</v>
      </c>
      <c r="Q299" s="96" t="s">
        <v>2787</v>
      </c>
      <c r="R299" s="96" t="s">
        <v>2684</v>
      </c>
      <c r="S299" s="96" t="s">
        <v>136</v>
      </c>
      <c r="T299" s="96">
        <v>143008.0</v>
      </c>
      <c r="U299" s="96" t="s">
        <v>2691</v>
      </c>
      <c r="V299" s="101"/>
      <c r="W299" s="92" t="s">
        <v>141</v>
      </c>
      <c r="X299" s="96" t="s">
        <v>229</v>
      </c>
      <c r="Y299" s="96" t="s">
        <v>992</v>
      </c>
      <c r="Z299" s="94"/>
      <c r="AA299" s="22" t="s">
        <v>2643</v>
      </c>
      <c r="AB299" s="89"/>
      <c r="AC299" s="7"/>
      <c r="AD299" s="7"/>
      <c r="AE299" s="7"/>
      <c r="AF299" s="99">
        <v>5.59094735646E11</v>
      </c>
    </row>
    <row r="300">
      <c r="A300" s="15">
        <v>299.0</v>
      </c>
      <c r="B300" s="6" t="s">
        <v>2634</v>
      </c>
      <c r="C300" s="88" t="s">
        <v>2635</v>
      </c>
      <c r="D300" s="89">
        <v>2.023010110015E12</v>
      </c>
      <c r="E300" s="89">
        <v>1.2232524722E10</v>
      </c>
      <c r="F300" s="89" t="s">
        <v>2788</v>
      </c>
      <c r="G300" s="89" t="s">
        <v>2789</v>
      </c>
      <c r="H300" s="89" t="s">
        <v>850</v>
      </c>
      <c r="I300" s="89" t="s">
        <v>164</v>
      </c>
      <c r="J300" s="89" t="s">
        <v>2790</v>
      </c>
      <c r="K300" s="89">
        <v>123456.0</v>
      </c>
      <c r="L300" s="89">
        <v>7.837885106E9</v>
      </c>
      <c r="M300" s="89">
        <v>8.427077313E9</v>
      </c>
      <c r="N300" s="89">
        <v>8.427077313E9</v>
      </c>
      <c r="O300" s="90">
        <v>36829.0</v>
      </c>
      <c r="P300" s="89" t="s">
        <v>2791</v>
      </c>
      <c r="Q300" s="89" t="s">
        <v>2792</v>
      </c>
      <c r="R300" s="89" t="s">
        <v>135</v>
      </c>
      <c r="S300" s="89" t="s">
        <v>136</v>
      </c>
      <c r="T300" s="89">
        <v>143102.0</v>
      </c>
      <c r="U300" s="89" t="s">
        <v>2793</v>
      </c>
      <c r="V300" s="102"/>
      <c r="W300" s="92" t="s">
        <v>141</v>
      </c>
      <c r="X300" s="89" t="s">
        <v>229</v>
      </c>
      <c r="Y300" s="89" t="s">
        <v>992</v>
      </c>
      <c r="Z300" s="94"/>
      <c r="AA300" s="22" t="s">
        <v>2643</v>
      </c>
      <c r="AB300" s="96"/>
      <c r="AC300" s="7"/>
      <c r="AD300" s="7"/>
      <c r="AE300" s="7"/>
      <c r="AF300" s="95">
        <v>6.72637212149E11</v>
      </c>
    </row>
    <row r="301">
      <c r="A301" s="15">
        <v>300.0</v>
      </c>
      <c r="B301" s="6" t="s">
        <v>2634</v>
      </c>
      <c r="C301" s="88" t="s">
        <v>2635</v>
      </c>
      <c r="D301" s="96">
        <v>2.024010001883E12</v>
      </c>
      <c r="E301" s="96">
        <v>1.2232524723E10</v>
      </c>
      <c r="F301" s="96" t="s">
        <v>2794</v>
      </c>
      <c r="G301" s="96" t="s">
        <v>2795</v>
      </c>
      <c r="H301" s="96" t="s">
        <v>2796</v>
      </c>
      <c r="I301" s="96" t="s">
        <v>126</v>
      </c>
      <c r="J301" s="96" t="s">
        <v>2797</v>
      </c>
      <c r="K301" s="96" t="s">
        <v>2798</v>
      </c>
      <c r="L301" s="96">
        <v>6.283295713E9</v>
      </c>
      <c r="M301" s="96" t="s">
        <v>2799</v>
      </c>
      <c r="N301" s="96">
        <v>7.814515096E9</v>
      </c>
      <c r="O301" s="97">
        <v>37841.0</v>
      </c>
      <c r="P301" s="96" t="s">
        <v>2800</v>
      </c>
      <c r="Q301" s="96" t="s">
        <v>2801</v>
      </c>
      <c r="R301" s="96" t="s">
        <v>2802</v>
      </c>
      <c r="S301" s="96" t="s">
        <v>2766</v>
      </c>
      <c r="T301" s="96">
        <v>143419.0</v>
      </c>
      <c r="U301" s="96" t="s">
        <v>2691</v>
      </c>
      <c r="V301" s="101"/>
      <c r="W301" s="92" t="s">
        <v>141</v>
      </c>
      <c r="X301" s="96" t="s">
        <v>2803</v>
      </c>
      <c r="Y301" s="96" t="s">
        <v>2804</v>
      </c>
      <c r="Z301" s="94"/>
      <c r="AA301" s="22" t="s">
        <v>2643</v>
      </c>
      <c r="AB301" s="89"/>
      <c r="AC301" s="7"/>
      <c r="AD301" s="7"/>
      <c r="AE301" s="7"/>
      <c r="AF301" s="99" t="s">
        <v>2805</v>
      </c>
    </row>
    <row r="302">
      <c r="A302" s="15">
        <v>301.0</v>
      </c>
      <c r="B302" s="6" t="s">
        <v>2634</v>
      </c>
      <c r="C302" s="88" t="s">
        <v>2635</v>
      </c>
      <c r="D302" s="89">
        <v>2.025010050556E12</v>
      </c>
      <c r="E302" s="89">
        <v>1.2232524724E10</v>
      </c>
      <c r="F302" s="89" t="s">
        <v>2806</v>
      </c>
      <c r="G302" s="89" t="s">
        <v>2807</v>
      </c>
      <c r="H302" s="89" t="s">
        <v>2808</v>
      </c>
      <c r="I302" s="89" t="s">
        <v>164</v>
      </c>
      <c r="J302" s="89" t="s">
        <v>2809</v>
      </c>
      <c r="K302" s="89">
        <v>2.025010050556E12</v>
      </c>
      <c r="L302" s="89">
        <v>9.814841716E9</v>
      </c>
      <c r="M302" s="89">
        <v>7.88868838E9</v>
      </c>
      <c r="N302" s="89">
        <v>9.988550005E9</v>
      </c>
      <c r="O302" s="90">
        <v>31414.0</v>
      </c>
      <c r="P302" s="89" t="s">
        <v>2810</v>
      </c>
      <c r="Q302" s="89" t="s">
        <v>2811</v>
      </c>
      <c r="R302" s="89" t="s">
        <v>135</v>
      </c>
      <c r="S302" s="89" t="s">
        <v>136</v>
      </c>
      <c r="T302" s="89">
        <v>143001.0</v>
      </c>
      <c r="U302" s="89" t="s">
        <v>2691</v>
      </c>
      <c r="V302" s="102"/>
      <c r="W302" s="92" t="s">
        <v>141</v>
      </c>
      <c r="X302" s="89" t="s">
        <v>159</v>
      </c>
      <c r="Y302" s="89" t="s">
        <v>992</v>
      </c>
      <c r="Z302" s="94"/>
      <c r="AA302" s="22" t="s">
        <v>2643</v>
      </c>
      <c r="AB302" s="96"/>
      <c r="AC302" s="7"/>
      <c r="AD302" s="7"/>
      <c r="AE302" s="7"/>
      <c r="AF302" s="95">
        <v>2.42751186376E11</v>
      </c>
    </row>
    <row r="303">
      <c r="A303" s="15">
        <v>302.0</v>
      </c>
      <c r="B303" s="6" t="s">
        <v>2634</v>
      </c>
      <c r="C303" s="88" t="s">
        <v>2635</v>
      </c>
      <c r="D303" s="96">
        <v>2.025010053271E12</v>
      </c>
      <c r="E303" s="96">
        <v>1.2232524726E10</v>
      </c>
      <c r="F303" s="96" t="s">
        <v>2812</v>
      </c>
      <c r="G303" s="96" t="s">
        <v>2813</v>
      </c>
      <c r="H303" s="96" t="s">
        <v>2814</v>
      </c>
      <c r="I303" s="96" t="s">
        <v>126</v>
      </c>
      <c r="J303" s="96" t="s">
        <v>2815</v>
      </c>
      <c r="K303" s="96">
        <v>123456.0</v>
      </c>
      <c r="L303" s="96">
        <v>8.284056468E9</v>
      </c>
      <c r="M303" s="96" t="s">
        <v>2816</v>
      </c>
      <c r="N303" s="96" t="s">
        <v>2816</v>
      </c>
      <c r="O303" s="97">
        <v>37121.0</v>
      </c>
      <c r="P303" s="96" t="s">
        <v>2817</v>
      </c>
      <c r="Q303" s="96" t="s">
        <v>2818</v>
      </c>
      <c r="R303" s="96" t="s">
        <v>135</v>
      </c>
      <c r="S303" s="96" t="s">
        <v>136</v>
      </c>
      <c r="T303" s="96">
        <v>143001.0</v>
      </c>
      <c r="U303" s="96" t="s">
        <v>2064</v>
      </c>
      <c r="V303" s="101"/>
      <c r="W303" s="92" t="s">
        <v>141</v>
      </c>
      <c r="X303" s="96" t="s">
        <v>159</v>
      </c>
      <c r="Y303" s="96" t="s">
        <v>2642</v>
      </c>
      <c r="Z303" s="94"/>
      <c r="AA303" s="22" t="s">
        <v>2643</v>
      </c>
      <c r="AB303" s="89"/>
      <c r="AC303" s="7"/>
      <c r="AD303" s="7"/>
      <c r="AE303" s="7"/>
      <c r="AF303" s="99">
        <v>9.1678432682E11</v>
      </c>
    </row>
    <row r="304">
      <c r="A304" s="15">
        <v>303.0</v>
      </c>
      <c r="B304" s="6" t="s">
        <v>2634</v>
      </c>
      <c r="C304" s="88" t="s">
        <v>2635</v>
      </c>
      <c r="D304" s="89">
        <v>2.025010053282E12</v>
      </c>
      <c r="E304" s="89">
        <v>1.2232524727E10</v>
      </c>
      <c r="F304" s="89" t="s">
        <v>2819</v>
      </c>
      <c r="G304" s="89" t="s">
        <v>2820</v>
      </c>
      <c r="H304" s="89" t="s">
        <v>1912</v>
      </c>
      <c r="I304" s="89" t="s">
        <v>164</v>
      </c>
      <c r="J304" s="89" t="s">
        <v>2821</v>
      </c>
      <c r="K304" s="89">
        <v>123456.0</v>
      </c>
      <c r="L304" s="89">
        <v>9.877059836E9</v>
      </c>
      <c r="M304" s="89">
        <v>9.872753064E9</v>
      </c>
      <c r="N304" s="89">
        <v>8.437580098E9</v>
      </c>
      <c r="O304" s="90">
        <v>32533.0</v>
      </c>
      <c r="P304" s="89" t="s">
        <v>2822</v>
      </c>
      <c r="Q304" s="89" t="s">
        <v>2823</v>
      </c>
      <c r="R304" s="89" t="s">
        <v>135</v>
      </c>
      <c r="S304" s="89" t="s">
        <v>136</v>
      </c>
      <c r="T304" s="89">
        <v>143001.0</v>
      </c>
      <c r="U304" s="89" t="s">
        <v>2824</v>
      </c>
      <c r="V304" s="102"/>
      <c r="W304" s="92" t="s">
        <v>141</v>
      </c>
      <c r="X304" s="89" t="s">
        <v>143</v>
      </c>
      <c r="Y304" s="89" t="s">
        <v>2642</v>
      </c>
      <c r="Z304" s="94"/>
      <c r="AA304" s="22" t="s">
        <v>2643</v>
      </c>
      <c r="AB304" s="96"/>
      <c r="AC304" s="7"/>
      <c r="AD304" s="7"/>
      <c r="AE304" s="7"/>
      <c r="AF304" s="95">
        <v>7.92009832985E11</v>
      </c>
    </row>
    <row r="305">
      <c r="A305" s="15">
        <v>304.0</v>
      </c>
      <c r="B305" s="6" t="s">
        <v>2634</v>
      </c>
      <c r="C305" s="88" t="s">
        <v>2635</v>
      </c>
      <c r="D305" s="96">
        <v>2.025010053283E12</v>
      </c>
      <c r="E305" s="96">
        <v>1.2232524728E10</v>
      </c>
      <c r="F305" s="96" t="s">
        <v>2825</v>
      </c>
      <c r="G305" s="96" t="s">
        <v>2826</v>
      </c>
      <c r="H305" s="96" t="s">
        <v>2827</v>
      </c>
      <c r="I305" s="96" t="s">
        <v>164</v>
      </c>
      <c r="J305" s="96" t="s">
        <v>2828</v>
      </c>
      <c r="K305" s="96">
        <v>123456.0</v>
      </c>
      <c r="L305" s="96">
        <v>9.417183527E9</v>
      </c>
      <c r="M305" s="96">
        <v>9.417188801E9</v>
      </c>
      <c r="N305" s="96">
        <v>7.888531185E9</v>
      </c>
      <c r="O305" s="97">
        <v>37136.0</v>
      </c>
      <c r="P305" s="96" t="s">
        <v>2829</v>
      </c>
      <c r="Q305" s="96" t="s">
        <v>2830</v>
      </c>
      <c r="R305" s="96" t="s">
        <v>2684</v>
      </c>
      <c r="S305" s="96" t="s">
        <v>136</v>
      </c>
      <c r="T305" s="96">
        <v>143001.0</v>
      </c>
      <c r="U305" s="96" t="s">
        <v>2831</v>
      </c>
      <c r="V305" s="101"/>
      <c r="W305" s="92" t="s">
        <v>141</v>
      </c>
      <c r="X305" s="96" t="s">
        <v>2702</v>
      </c>
      <c r="Y305" s="96" t="s">
        <v>992</v>
      </c>
      <c r="Z305" s="94"/>
      <c r="AA305" s="22" t="s">
        <v>2643</v>
      </c>
      <c r="AB305" s="89"/>
      <c r="AC305" s="7"/>
      <c r="AD305" s="7"/>
      <c r="AE305" s="7"/>
      <c r="AF305" s="99">
        <v>6.54164030138E11</v>
      </c>
    </row>
    <row r="306">
      <c r="A306" s="15">
        <v>305.0</v>
      </c>
      <c r="B306" s="6" t="s">
        <v>2634</v>
      </c>
      <c r="C306" s="88" t="s">
        <v>2635</v>
      </c>
      <c r="D306" s="89">
        <v>2.025010053295E12</v>
      </c>
      <c r="E306" s="89">
        <v>1.2232524732E10</v>
      </c>
      <c r="F306" s="89" t="s">
        <v>2832</v>
      </c>
      <c r="G306" s="89" t="s">
        <v>2833</v>
      </c>
      <c r="H306" s="89" t="s">
        <v>2834</v>
      </c>
      <c r="I306" s="89" t="s">
        <v>164</v>
      </c>
      <c r="J306" s="89" t="s">
        <v>2835</v>
      </c>
      <c r="K306" s="89">
        <v>123456.0</v>
      </c>
      <c r="L306" s="89">
        <v>9.906714133E9</v>
      </c>
      <c r="M306" s="89">
        <v>9.906714133E9</v>
      </c>
      <c r="N306" s="89">
        <v>9.906714133E9</v>
      </c>
      <c r="O306" s="90">
        <v>23446.0</v>
      </c>
      <c r="P306" s="89" t="s">
        <v>2836</v>
      </c>
      <c r="Q306" s="89" t="s">
        <v>2837</v>
      </c>
      <c r="R306" s="89" t="s">
        <v>2838</v>
      </c>
      <c r="S306" s="89" t="s">
        <v>136</v>
      </c>
      <c r="T306" s="89">
        <v>143521.0</v>
      </c>
      <c r="U306" s="89" t="s">
        <v>1598</v>
      </c>
      <c r="V306" s="102"/>
      <c r="W306" s="92" t="s">
        <v>141</v>
      </c>
      <c r="X306" s="89" t="s">
        <v>506</v>
      </c>
      <c r="Y306" s="89" t="s">
        <v>2642</v>
      </c>
      <c r="Z306" s="94"/>
      <c r="AA306" s="22" t="s">
        <v>2643</v>
      </c>
      <c r="AB306" s="96"/>
      <c r="AC306" s="7"/>
      <c r="AD306" s="7"/>
      <c r="AE306" s="7"/>
      <c r="AF306" s="95">
        <v>9.7128673724E11</v>
      </c>
    </row>
    <row r="307">
      <c r="A307" s="15">
        <v>306.0</v>
      </c>
      <c r="B307" s="6" t="s">
        <v>2634</v>
      </c>
      <c r="C307" s="88" t="s">
        <v>2635</v>
      </c>
      <c r="D307" s="96">
        <v>2.025010053326E12</v>
      </c>
      <c r="E307" s="96">
        <v>1.2232524736E10</v>
      </c>
      <c r="F307" s="96" t="s">
        <v>1022</v>
      </c>
      <c r="G307" s="96" t="s">
        <v>275</v>
      </c>
      <c r="H307" s="96" t="s">
        <v>1829</v>
      </c>
      <c r="I307" s="96" t="s">
        <v>126</v>
      </c>
      <c r="J307" s="96" t="s">
        <v>2839</v>
      </c>
      <c r="K307" s="96">
        <v>2.05010053326E11</v>
      </c>
      <c r="L307" s="96">
        <v>6.239956783E9</v>
      </c>
      <c r="M307" s="96">
        <v>9.976214E9</v>
      </c>
      <c r="N307" s="96">
        <v>9.976218E9</v>
      </c>
      <c r="O307" s="97">
        <v>33667.0</v>
      </c>
      <c r="P307" s="96" t="s">
        <v>2840</v>
      </c>
      <c r="Q307" s="96" t="s">
        <v>2841</v>
      </c>
      <c r="R307" s="96" t="s">
        <v>2842</v>
      </c>
      <c r="S307" s="96" t="s">
        <v>747</v>
      </c>
      <c r="T307" s="96">
        <v>141002.0</v>
      </c>
      <c r="U307" s="96" t="s">
        <v>2843</v>
      </c>
      <c r="V307" s="101"/>
      <c r="W307" s="92" t="s">
        <v>141</v>
      </c>
      <c r="X307" s="96" t="s">
        <v>143</v>
      </c>
      <c r="Y307" s="96" t="s">
        <v>2844</v>
      </c>
      <c r="Z307" s="94"/>
      <c r="AA307" s="22" t="s">
        <v>2643</v>
      </c>
      <c r="AB307" s="89"/>
      <c r="AC307" s="7"/>
      <c r="AD307" s="7"/>
      <c r="AE307" s="7"/>
      <c r="AF307" s="99">
        <v>5.70930553182E11</v>
      </c>
    </row>
    <row r="308">
      <c r="A308" s="15">
        <v>307.0</v>
      </c>
      <c r="B308" s="6" t="s">
        <v>2634</v>
      </c>
      <c r="C308" s="88" t="s">
        <v>2635</v>
      </c>
      <c r="D308" s="89">
        <v>2.025010053327E12</v>
      </c>
      <c r="E308" s="89">
        <v>1.2232524737E10</v>
      </c>
      <c r="F308" s="89" t="s">
        <v>2845</v>
      </c>
      <c r="G308" s="89" t="s">
        <v>2846</v>
      </c>
      <c r="H308" s="89" t="s">
        <v>2847</v>
      </c>
      <c r="I308" s="89" t="s">
        <v>164</v>
      </c>
      <c r="J308" s="89" t="s">
        <v>2848</v>
      </c>
      <c r="K308" s="89">
        <v>123456.0</v>
      </c>
      <c r="L308" s="104" t="s">
        <v>2849</v>
      </c>
      <c r="M308" s="89">
        <v>9.81405938E9</v>
      </c>
      <c r="N308" s="89">
        <v>9.356304355E9</v>
      </c>
      <c r="O308" s="90">
        <v>37440.0</v>
      </c>
      <c r="P308" s="89" t="s">
        <v>2850</v>
      </c>
      <c r="Q308" s="89" t="s">
        <v>2851</v>
      </c>
      <c r="R308" s="89" t="s">
        <v>135</v>
      </c>
      <c r="S308" s="89" t="s">
        <v>136</v>
      </c>
      <c r="T308" s="89">
        <v>143001.0</v>
      </c>
      <c r="U308" s="89" t="s">
        <v>2064</v>
      </c>
      <c r="V308" s="102"/>
      <c r="W308" s="92" t="s">
        <v>141</v>
      </c>
      <c r="X308" s="89" t="s">
        <v>143</v>
      </c>
      <c r="Y308" s="89" t="s">
        <v>2642</v>
      </c>
      <c r="Z308" s="94"/>
      <c r="AA308" s="22" t="s">
        <v>2643</v>
      </c>
      <c r="AB308" s="96"/>
      <c r="AC308" s="7"/>
      <c r="AD308" s="7"/>
      <c r="AE308" s="7"/>
      <c r="AF308" s="95">
        <v>8.52282281527E11</v>
      </c>
    </row>
    <row r="309">
      <c r="A309" s="15">
        <v>317.0</v>
      </c>
      <c r="B309" s="6" t="s">
        <v>2852</v>
      </c>
      <c r="C309" s="88" t="s">
        <v>2635</v>
      </c>
      <c r="D309" s="6">
        <v>2.017013000943E12</v>
      </c>
      <c r="E309" s="6">
        <v>1.0622424701E10</v>
      </c>
      <c r="F309" s="6" t="s">
        <v>2853</v>
      </c>
      <c r="G309" s="6" t="s">
        <v>427</v>
      </c>
      <c r="H309" s="6" t="s">
        <v>2854</v>
      </c>
      <c r="I309" s="6" t="s">
        <v>164</v>
      </c>
      <c r="J309" s="6" t="s">
        <v>2855</v>
      </c>
      <c r="K309" s="30" t="s">
        <v>2856</v>
      </c>
      <c r="L309" s="6">
        <v>9.914313865E9</v>
      </c>
      <c r="M309" s="6">
        <v>9.464261655E9</v>
      </c>
      <c r="N309" s="6">
        <v>7.717513865E9</v>
      </c>
      <c r="O309" s="32">
        <v>36379.0</v>
      </c>
      <c r="P309" s="6" t="s">
        <v>2857</v>
      </c>
      <c r="Q309" s="6" t="s">
        <v>2858</v>
      </c>
      <c r="R309" s="6" t="s">
        <v>988</v>
      </c>
      <c r="S309" s="6" t="s">
        <v>989</v>
      </c>
      <c r="T309" s="6" t="s">
        <v>2859</v>
      </c>
      <c r="U309" s="6" t="s">
        <v>169</v>
      </c>
      <c r="V309" s="6" t="s">
        <v>66</v>
      </c>
      <c r="W309" s="6" t="s">
        <v>141</v>
      </c>
      <c r="X309" s="6" t="s">
        <v>250</v>
      </c>
      <c r="Y309" s="6" t="s">
        <v>144</v>
      </c>
      <c r="Z309" s="7"/>
      <c r="AA309" s="22" t="s">
        <v>2860</v>
      </c>
      <c r="AB309" s="89"/>
      <c r="AC309" s="7"/>
      <c r="AD309" s="7"/>
      <c r="AE309" s="7"/>
      <c r="AF309" s="87" t="s">
        <v>2861</v>
      </c>
    </row>
    <row r="310">
      <c r="A310" s="15">
        <v>318.0</v>
      </c>
      <c r="B310" s="6" t="s">
        <v>2852</v>
      </c>
      <c r="C310" s="88" t="s">
        <v>2635</v>
      </c>
      <c r="D310" s="6">
        <v>2.018010009706E12</v>
      </c>
      <c r="E310" s="6">
        <v>1.0622424702E10</v>
      </c>
      <c r="F310" s="6" t="s">
        <v>2854</v>
      </c>
      <c r="G310" s="6" t="s">
        <v>1459</v>
      </c>
      <c r="H310" s="6" t="s">
        <v>2862</v>
      </c>
      <c r="I310" s="6" t="s">
        <v>126</v>
      </c>
      <c r="J310" s="6" t="s">
        <v>2863</v>
      </c>
      <c r="K310" s="30" t="s">
        <v>291</v>
      </c>
      <c r="L310" s="6">
        <v>8.847534479E9</v>
      </c>
      <c r="M310" s="6">
        <v>8.264177944E9</v>
      </c>
      <c r="N310" s="6">
        <v>9.501379657E9</v>
      </c>
      <c r="O310" s="32">
        <v>35968.0</v>
      </c>
      <c r="P310" s="6" t="s">
        <v>2864</v>
      </c>
      <c r="Q310" s="6" t="s">
        <v>2865</v>
      </c>
      <c r="R310" s="6" t="s">
        <v>1744</v>
      </c>
      <c r="S310" s="6" t="s">
        <v>989</v>
      </c>
      <c r="T310" s="30" t="s">
        <v>2866</v>
      </c>
      <c r="U310" s="6" t="s">
        <v>2867</v>
      </c>
      <c r="V310" s="6" t="s">
        <v>2650</v>
      </c>
      <c r="W310" s="6" t="s">
        <v>141</v>
      </c>
      <c r="X310" s="6" t="s">
        <v>188</v>
      </c>
      <c r="Y310" s="6" t="s">
        <v>144</v>
      </c>
      <c r="Z310" s="7"/>
      <c r="AA310" s="22" t="s">
        <v>2860</v>
      </c>
      <c r="AB310" s="7"/>
      <c r="AC310" s="7"/>
      <c r="AD310" s="7"/>
      <c r="AE310" s="7"/>
      <c r="AF310" s="87" t="s">
        <v>2868</v>
      </c>
    </row>
    <row r="311">
      <c r="A311" s="15">
        <v>319.0</v>
      </c>
      <c r="B311" s="6" t="s">
        <v>2852</v>
      </c>
      <c r="C311" s="88" t="s">
        <v>2635</v>
      </c>
      <c r="D311" s="6">
        <v>2.020010003993E12</v>
      </c>
      <c r="E311" s="6">
        <v>1.0622424705E10</v>
      </c>
      <c r="F311" s="6" t="s">
        <v>2869</v>
      </c>
      <c r="G311" s="6" t="s">
        <v>789</v>
      </c>
      <c r="H311" s="7"/>
      <c r="I311" s="6" t="s">
        <v>126</v>
      </c>
      <c r="J311" s="6" t="s">
        <v>2870</v>
      </c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22" t="s">
        <v>2860</v>
      </c>
      <c r="AB311" s="7"/>
      <c r="AC311" s="7"/>
      <c r="AD311" s="7"/>
      <c r="AE311" s="7"/>
      <c r="AF311" s="86"/>
    </row>
    <row r="312">
      <c r="A312" s="15">
        <v>320.0</v>
      </c>
      <c r="B312" s="6" t="s">
        <v>2852</v>
      </c>
      <c r="C312" s="88" t="s">
        <v>2635</v>
      </c>
      <c r="D312" s="6">
        <v>2.020010026245E12</v>
      </c>
      <c r="E312" s="6">
        <v>1.0622424706E10</v>
      </c>
      <c r="F312" s="6" t="s">
        <v>2871</v>
      </c>
      <c r="G312" s="6" t="s">
        <v>2872</v>
      </c>
      <c r="H312" s="6" t="s">
        <v>2873</v>
      </c>
      <c r="I312" s="6" t="s">
        <v>126</v>
      </c>
      <c r="J312" s="6" t="s">
        <v>2874</v>
      </c>
      <c r="K312" s="30" t="s">
        <v>291</v>
      </c>
      <c r="L312" s="6">
        <v>8.284848917E9</v>
      </c>
      <c r="M312" s="6">
        <v>8.284848917E9</v>
      </c>
      <c r="N312" s="6">
        <v>8.284848917E9</v>
      </c>
      <c r="O312" s="32">
        <v>37641.0</v>
      </c>
      <c r="P312" s="6" t="s">
        <v>2875</v>
      </c>
      <c r="Q312" s="6" t="s">
        <v>2876</v>
      </c>
      <c r="R312" s="6" t="s">
        <v>988</v>
      </c>
      <c r="S312" s="6" t="s">
        <v>989</v>
      </c>
      <c r="T312" s="6" t="s">
        <v>2877</v>
      </c>
      <c r="U312" s="6" t="s">
        <v>2064</v>
      </c>
      <c r="V312" s="6" t="s">
        <v>2650</v>
      </c>
      <c r="W312" s="6" t="s">
        <v>141</v>
      </c>
      <c r="X312" s="6" t="s">
        <v>718</v>
      </c>
      <c r="Y312" s="6" t="s">
        <v>251</v>
      </c>
      <c r="Z312" s="7"/>
      <c r="AA312" s="22" t="s">
        <v>2860</v>
      </c>
      <c r="AB312" s="7"/>
      <c r="AC312" s="7"/>
      <c r="AD312" s="7"/>
      <c r="AE312" s="7"/>
      <c r="AF312" s="87" t="s">
        <v>2878</v>
      </c>
    </row>
    <row r="313">
      <c r="A313" s="15">
        <v>321.0</v>
      </c>
      <c r="B313" s="6" t="s">
        <v>2852</v>
      </c>
      <c r="C313" s="88" t="s">
        <v>2635</v>
      </c>
      <c r="D313" s="6">
        <v>2.020010027551E12</v>
      </c>
      <c r="E313" s="6">
        <v>1.0622424707E10</v>
      </c>
      <c r="F313" s="6" t="s">
        <v>2879</v>
      </c>
      <c r="G313" s="6" t="s">
        <v>2880</v>
      </c>
      <c r="H313" s="6" t="s">
        <v>2881</v>
      </c>
      <c r="I313" s="6" t="s">
        <v>126</v>
      </c>
      <c r="J313" s="6" t="s">
        <v>2882</v>
      </c>
      <c r="K313" s="30" t="s">
        <v>291</v>
      </c>
      <c r="L313" s="6">
        <v>9.988192366E9</v>
      </c>
      <c r="M313" s="6">
        <v>9.915492517E9</v>
      </c>
      <c r="N313" s="6">
        <v>9.915492517E9</v>
      </c>
      <c r="O313" s="32">
        <v>37790.0</v>
      </c>
      <c r="P313" s="6" t="s">
        <v>2883</v>
      </c>
      <c r="Q313" s="6" t="s">
        <v>2884</v>
      </c>
      <c r="R313" s="6" t="s">
        <v>1744</v>
      </c>
      <c r="S313" s="6" t="s">
        <v>296</v>
      </c>
      <c r="T313" s="6" t="s">
        <v>2859</v>
      </c>
      <c r="U313" s="6" t="s">
        <v>2064</v>
      </c>
      <c r="V313" s="6" t="s">
        <v>156</v>
      </c>
      <c r="W313" s="6" t="s">
        <v>141</v>
      </c>
      <c r="X313" s="6" t="s">
        <v>250</v>
      </c>
      <c r="Y313" s="6" t="s">
        <v>251</v>
      </c>
      <c r="Z313" s="7"/>
      <c r="AA313" s="22" t="s">
        <v>2860</v>
      </c>
      <c r="AB313" s="7"/>
      <c r="AC313" s="7"/>
      <c r="AD313" s="7"/>
      <c r="AE313" s="7"/>
      <c r="AF313" s="87" t="s">
        <v>2885</v>
      </c>
    </row>
    <row r="314">
      <c r="A314" s="15">
        <v>322.0</v>
      </c>
      <c r="B314" s="6" t="s">
        <v>2852</v>
      </c>
      <c r="C314" s="88" t="s">
        <v>2635</v>
      </c>
      <c r="D314" s="6">
        <v>2.021010066334E12</v>
      </c>
      <c r="E314" s="6">
        <v>1.0622424708E10</v>
      </c>
      <c r="F314" s="6" t="s">
        <v>2886</v>
      </c>
      <c r="G314" s="6" t="s">
        <v>789</v>
      </c>
      <c r="H314" s="6" t="s">
        <v>1576</v>
      </c>
      <c r="I314" s="6" t="s">
        <v>126</v>
      </c>
      <c r="J314" s="6" t="s">
        <v>2887</v>
      </c>
      <c r="K314" s="30" t="s">
        <v>291</v>
      </c>
      <c r="L314" s="6">
        <v>7.681992275E9</v>
      </c>
      <c r="M314" s="6">
        <v>9.877132005E9</v>
      </c>
      <c r="N314" s="6">
        <v>9.803153884E9</v>
      </c>
      <c r="O314" s="32">
        <v>36833.0</v>
      </c>
      <c r="P314" s="6" t="s">
        <v>2888</v>
      </c>
      <c r="Q314" s="6" t="s">
        <v>2889</v>
      </c>
      <c r="R314" s="6" t="s">
        <v>2890</v>
      </c>
      <c r="S314" s="6" t="s">
        <v>989</v>
      </c>
      <c r="T314" s="6" t="s">
        <v>2889</v>
      </c>
      <c r="U314" s="6" t="s">
        <v>169</v>
      </c>
      <c r="V314" s="6" t="s">
        <v>2650</v>
      </c>
      <c r="W314" s="6" t="s">
        <v>141</v>
      </c>
      <c r="X314" s="6" t="s">
        <v>250</v>
      </c>
      <c r="Y314" s="6" t="s">
        <v>992</v>
      </c>
      <c r="Z314" s="7"/>
      <c r="AA314" s="22" t="s">
        <v>2860</v>
      </c>
      <c r="AB314" s="7"/>
      <c r="AC314" s="7"/>
      <c r="AD314" s="7"/>
      <c r="AE314" s="7"/>
      <c r="AF314" s="30" t="s">
        <v>2891</v>
      </c>
    </row>
    <row r="315">
      <c r="A315" s="15">
        <v>323.0</v>
      </c>
      <c r="B315" s="6" t="s">
        <v>2852</v>
      </c>
      <c r="C315" s="88" t="s">
        <v>2635</v>
      </c>
      <c r="D315" s="6">
        <v>2.024010019529E12</v>
      </c>
      <c r="E315" s="6">
        <v>1.0622424711E10</v>
      </c>
      <c r="F315" s="6" t="s">
        <v>2892</v>
      </c>
      <c r="G315" s="6" t="s">
        <v>1775</v>
      </c>
      <c r="H315" s="6" t="s">
        <v>2893</v>
      </c>
      <c r="I315" s="6" t="s">
        <v>126</v>
      </c>
      <c r="J315" s="6" t="s">
        <v>2894</v>
      </c>
      <c r="K315" s="30" t="s">
        <v>291</v>
      </c>
      <c r="L315" s="6">
        <v>8.146622395E9</v>
      </c>
      <c r="M315" s="6">
        <v>9.501598161E9</v>
      </c>
      <c r="N315" s="6">
        <v>9.501598161E9</v>
      </c>
      <c r="O315" s="32">
        <v>32643.0</v>
      </c>
      <c r="P315" s="6" t="s">
        <v>2895</v>
      </c>
      <c r="Q315" s="6" t="s">
        <v>2896</v>
      </c>
      <c r="R315" s="6" t="s">
        <v>988</v>
      </c>
      <c r="S315" s="6" t="s">
        <v>989</v>
      </c>
      <c r="T315" s="30" t="s">
        <v>2897</v>
      </c>
      <c r="U315" s="6" t="s">
        <v>1598</v>
      </c>
      <c r="V315" s="6" t="s">
        <v>2650</v>
      </c>
      <c r="W315" s="6" t="s">
        <v>1746</v>
      </c>
      <c r="X315" s="6" t="s">
        <v>718</v>
      </c>
      <c r="Y315" s="6" t="s">
        <v>144</v>
      </c>
      <c r="Z315" s="6" t="s">
        <v>80</v>
      </c>
      <c r="AA315" s="22" t="s">
        <v>2860</v>
      </c>
      <c r="AB315" s="7"/>
      <c r="AC315" s="7"/>
      <c r="AD315" s="7"/>
      <c r="AE315" s="7"/>
      <c r="AF315" s="30" t="s">
        <v>2898</v>
      </c>
    </row>
    <row r="316">
      <c r="A316" s="15">
        <v>324.0</v>
      </c>
      <c r="B316" s="6" t="s">
        <v>2852</v>
      </c>
      <c r="C316" s="88" t="s">
        <v>2635</v>
      </c>
      <c r="D316" s="6">
        <v>2.024010116919E12</v>
      </c>
      <c r="E316" s="6">
        <v>1.0622424712E10</v>
      </c>
      <c r="F316" s="6" t="s">
        <v>2899</v>
      </c>
      <c r="G316" s="6" t="s">
        <v>2900</v>
      </c>
      <c r="H316" s="6" t="s">
        <v>2901</v>
      </c>
      <c r="I316" s="6" t="s">
        <v>164</v>
      </c>
      <c r="J316" s="6" t="s">
        <v>2902</v>
      </c>
      <c r="K316" s="30" t="s">
        <v>291</v>
      </c>
      <c r="L316" s="6">
        <v>9.888016531E9</v>
      </c>
      <c r="M316" s="6">
        <v>9.888016531E9</v>
      </c>
      <c r="N316" s="6">
        <v>9.888016531E9</v>
      </c>
      <c r="O316" s="32">
        <v>30911.0</v>
      </c>
      <c r="P316" s="6" t="s">
        <v>2903</v>
      </c>
      <c r="Q316" s="6" t="s">
        <v>2904</v>
      </c>
      <c r="R316" s="6" t="s">
        <v>2905</v>
      </c>
      <c r="S316" s="6" t="s">
        <v>989</v>
      </c>
      <c r="T316" s="6" t="s">
        <v>2906</v>
      </c>
      <c r="U316" s="6" t="s">
        <v>169</v>
      </c>
      <c r="V316" s="6" t="s">
        <v>1944</v>
      </c>
      <c r="W316" s="6" t="s">
        <v>1746</v>
      </c>
      <c r="X316" s="6" t="s">
        <v>718</v>
      </c>
      <c r="Y316" s="6" t="s">
        <v>251</v>
      </c>
      <c r="Z316" s="7"/>
      <c r="AA316" s="22" t="s">
        <v>2860</v>
      </c>
      <c r="AB316" s="7"/>
      <c r="AC316" s="7"/>
      <c r="AD316" s="7"/>
      <c r="AE316" s="7"/>
      <c r="AF316" s="30" t="s">
        <v>2907</v>
      </c>
    </row>
    <row r="317">
      <c r="A317" s="15">
        <v>325.0</v>
      </c>
      <c r="B317" s="6" t="s">
        <v>2852</v>
      </c>
      <c r="C317" s="88" t="s">
        <v>2635</v>
      </c>
      <c r="D317" s="6">
        <v>2.024010116932E12</v>
      </c>
      <c r="E317" s="6">
        <v>1.0622424713E10</v>
      </c>
      <c r="F317" s="6" t="s">
        <v>2908</v>
      </c>
      <c r="G317" s="6" t="s">
        <v>2909</v>
      </c>
      <c r="H317" s="6" t="s">
        <v>2910</v>
      </c>
      <c r="I317" s="6" t="s">
        <v>126</v>
      </c>
      <c r="J317" s="6" t="s">
        <v>2911</v>
      </c>
      <c r="K317" s="30" t="s">
        <v>291</v>
      </c>
      <c r="L317" s="6">
        <v>7.051051063E9</v>
      </c>
      <c r="M317" s="6">
        <v>9.469153523E9</v>
      </c>
      <c r="N317" s="6">
        <v>9.149616223E9</v>
      </c>
      <c r="O317" s="32">
        <v>37710.0</v>
      </c>
      <c r="P317" s="6" t="s">
        <v>2912</v>
      </c>
      <c r="Q317" s="6" t="s">
        <v>2913</v>
      </c>
      <c r="R317" s="6" t="s">
        <v>2914</v>
      </c>
      <c r="S317" s="6" t="s">
        <v>989</v>
      </c>
      <c r="T317" s="30" t="s">
        <v>2915</v>
      </c>
      <c r="U317" s="6" t="s">
        <v>1598</v>
      </c>
      <c r="V317" s="6" t="s">
        <v>2650</v>
      </c>
      <c r="W317" s="6" t="s">
        <v>141</v>
      </c>
      <c r="X317" s="6" t="s">
        <v>718</v>
      </c>
      <c r="Y317" s="6" t="s">
        <v>251</v>
      </c>
      <c r="Z317" s="7"/>
      <c r="AA317" s="22" t="s">
        <v>2860</v>
      </c>
      <c r="AB317" s="7"/>
      <c r="AC317" s="7"/>
      <c r="AD317" s="7"/>
      <c r="AE317" s="7"/>
      <c r="AF317" s="30" t="s">
        <v>2916</v>
      </c>
    </row>
    <row r="318">
      <c r="A318" s="15">
        <v>326.0</v>
      </c>
      <c r="B318" s="6" t="s">
        <v>2852</v>
      </c>
      <c r="C318" s="88" t="s">
        <v>2635</v>
      </c>
      <c r="D318" s="6">
        <v>2.024010117023E12</v>
      </c>
      <c r="E318" s="6">
        <v>1.0622424714E10</v>
      </c>
      <c r="F318" s="6" t="s">
        <v>2917</v>
      </c>
      <c r="G318" s="6" t="s">
        <v>2918</v>
      </c>
      <c r="H318" s="6" t="s">
        <v>2919</v>
      </c>
      <c r="I318" s="6" t="s">
        <v>126</v>
      </c>
      <c r="J318" s="6" t="s">
        <v>2920</v>
      </c>
      <c r="K318" s="30" t="s">
        <v>291</v>
      </c>
      <c r="L318" s="6">
        <v>7.740038987E9</v>
      </c>
      <c r="M318" s="6">
        <v>9.878862112E9</v>
      </c>
      <c r="N318" s="6">
        <v>8.847553803E9</v>
      </c>
      <c r="O318" s="32">
        <v>37299.0</v>
      </c>
      <c r="P318" s="6" t="s">
        <v>2921</v>
      </c>
      <c r="Q318" s="6" t="s">
        <v>2922</v>
      </c>
      <c r="R318" s="6" t="s">
        <v>988</v>
      </c>
      <c r="S318" s="6" t="s">
        <v>989</v>
      </c>
      <c r="T318" s="6" t="s">
        <v>2859</v>
      </c>
      <c r="U318" s="6" t="s">
        <v>169</v>
      </c>
      <c r="V318" s="6" t="s">
        <v>2650</v>
      </c>
      <c r="W318" s="6" t="s">
        <v>141</v>
      </c>
      <c r="X318" s="6" t="s">
        <v>250</v>
      </c>
      <c r="Y318" s="6" t="s">
        <v>251</v>
      </c>
      <c r="Z318" s="7"/>
      <c r="AA318" s="22" t="s">
        <v>2860</v>
      </c>
      <c r="AB318" s="7"/>
      <c r="AC318" s="7"/>
      <c r="AD318" s="7"/>
      <c r="AE318" s="7"/>
      <c r="AF318" s="30" t="s">
        <v>2923</v>
      </c>
    </row>
    <row r="319">
      <c r="A319" s="15">
        <v>327.0</v>
      </c>
      <c r="B319" s="6" t="s">
        <v>2852</v>
      </c>
      <c r="C319" s="88" t="s">
        <v>2635</v>
      </c>
      <c r="D319" s="6">
        <v>2.024010117234E12</v>
      </c>
      <c r="E319" s="6">
        <v>1.0622424715E10</v>
      </c>
      <c r="F319" s="6" t="s">
        <v>2924</v>
      </c>
      <c r="G319" s="6" t="s">
        <v>2925</v>
      </c>
      <c r="H319" s="6" t="s">
        <v>2926</v>
      </c>
      <c r="I319" s="6" t="s">
        <v>164</v>
      </c>
      <c r="J319" s="6" t="s">
        <v>2927</v>
      </c>
      <c r="K319" s="30" t="s">
        <v>291</v>
      </c>
      <c r="L319" s="6">
        <v>9.888466739E9</v>
      </c>
      <c r="M319" s="6">
        <v>9.888466739E9</v>
      </c>
      <c r="N319" s="6">
        <v>9.888466739E9</v>
      </c>
      <c r="O319" s="32">
        <v>33285.0</v>
      </c>
      <c r="P319" s="6" t="s">
        <v>2928</v>
      </c>
      <c r="Q319" s="6" t="s">
        <v>2929</v>
      </c>
      <c r="R319" s="6" t="s">
        <v>988</v>
      </c>
      <c r="S319" s="6" t="s">
        <v>989</v>
      </c>
      <c r="T319" s="6" t="s">
        <v>2859</v>
      </c>
      <c r="U319" s="6" t="s">
        <v>169</v>
      </c>
      <c r="V319" s="6" t="s">
        <v>66</v>
      </c>
      <c r="W319" s="6" t="s">
        <v>1746</v>
      </c>
      <c r="X319" s="6" t="s">
        <v>188</v>
      </c>
      <c r="Y319" s="6" t="s">
        <v>251</v>
      </c>
      <c r="Z319" s="7"/>
      <c r="AA319" s="22" t="s">
        <v>2860</v>
      </c>
      <c r="AB319" s="7"/>
      <c r="AC319" s="7"/>
      <c r="AD319" s="7"/>
      <c r="AE319" s="7"/>
      <c r="AF319" s="30" t="s">
        <v>2930</v>
      </c>
    </row>
    <row r="320">
      <c r="A320" s="15">
        <v>328.0</v>
      </c>
      <c r="B320" s="6" t="s">
        <v>2852</v>
      </c>
      <c r="C320" s="88" t="s">
        <v>2635</v>
      </c>
      <c r="D320" s="6">
        <v>2.024010117239E12</v>
      </c>
      <c r="E320" s="6">
        <v>1.0622424717E10</v>
      </c>
      <c r="F320" s="6" t="s">
        <v>2931</v>
      </c>
      <c r="G320" s="6" t="s">
        <v>832</v>
      </c>
      <c r="H320" s="7"/>
      <c r="I320" s="6" t="s">
        <v>164</v>
      </c>
      <c r="J320" s="6" t="s">
        <v>2932</v>
      </c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22" t="s">
        <v>2860</v>
      </c>
      <c r="AB320" s="7"/>
      <c r="AC320" s="7"/>
      <c r="AD320" s="7"/>
      <c r="AE320" s="7"/>
      <c r="AF320" s="7"/>
    </row>
    <row r="321">
      <c r="A321" s="15">
        <v>329.0</v>
      </c>
      <c r="B321" s="6" t="s">
        <v>2852</v>
      </c>
      <c r="C321" s="88" t="s">
        <v>2635</v>
      </c>
      <c r="D321" s="6">
        <v>2.0240101174E12</v>
      </c>
      <c r="E321" s="6">
        <v>1.0622424718E10</v>
      </c>
      <c r="F321" s="6" t="s">
        <v>2933</v>
      </c>
      <c r="G321" s="6" t="s">
        <v>2934</v>
      </c>
      <c r="H321" s="7"/>
      <c r="I321" s="6" t="s">
        <v>126</v>
      </c>
      <c r="J321" s="6" t="s">
        <v>2935</v>
      </c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22" t="s">
        <v>2860</v>
      </c>
      <c r="AB321" s="7"/>
      <c r="AC321" s="7"/>
      <c r="AD321" s="7"/>
      <c r="AE321" s="7"/>
      <c r="AF321" s="7"/>
    </row>
    <row r="322">
      <c r="A322" s="15">
        <v>330.0</v>
      </c>
      <c r="B322" s="6" t="s">
        <v>2852</v>
      </c>
      <c r="C322" s="88" t="s">
        <v>2635</v>
      </c>
      <c r="D322" s="6">
        <v>2.024010117408E12</v>
      </c>
      <c r="E322" s="6">
        <v>1.062242472E10</v>
      </c>
      <c r="F322" s="6" t="s">
        <v>2936</v>
      </c>
      <c r="G322" s="6" t="s">
        <v>2937</v>
      </c>
      <c r="H322" s="7"/>
      <c r="I322" s="6" t="s">
        <v>164</v>
      </c>
      <c r="J322" s="6" t="s">
        <v>2938</v>
      </c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22" t="s">
        <v>2860</v>
      </c>
      <c r="AB322" s="7"/>
      <c r="AC322" s="7"/>
      <c r="AD322" s="7"/>
      <c r="AE322" s="7"/>
      <c r="AF322" s="7"/>
    </row>
    <row r="323">
      <c r="A323" s="15">
        <v>331.0</v>
      </c>
      <c r="B323" s="6" t="s">
        <v>2939</v>
      </c>
      <c r="C323" s="88" t="s">
        <v>2635</v>
      </c>
      <c r="D323" s="6">
        <v>2.022010047896E12</v>
      </c>
      <c r="E323" s="6">
        <v>1.0622223115E10</v>
      </c>
      <c r="F323" s="6" t="s">
        <v>2940</v>
      </c>
      <c r="G323" s="6" t="s">
        <v>2941</v>
      </c>
      <c r="H323" s="7"/>
      <c r="I323" s="6" t="s">
        <v>164</v>
      </c>
      <c r="J323" s="6" t="s">
        <v>2942</v>
      </c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105" t="s">
        <v>2943</v>
      </c>
      <c r="AB323" s="7"/>
      <c r="AC323" s="7"/>
      <c r="AD323" s="7"/>
      <c r="AE323" s="7"/>
      <c r="AF323" s="7"/>
    </row>
    <row r="324">
      <c r="A324" s="15">
        <v>332.0</v>
      </c>
      <c r="B324" s="6" t="s">
        <v>2939</v>
      </c>
      <c r="C324" s="88" t="s">
        <v>2635</v>
      </c>
      <c r="D324" s="6">
        <v>2.016012121313E12</v>
      </c>
      <c r="E324" s="6">
        <v>1.0622319101E10</v>
      </c>
      <c r="F324" s="6" t="s">
        <v>2944</v>
      </c>
      <c r="G324" s="6" t="s">
        <v>844</v>
      </c>
      <c r="H324" s="7"/>
      <c r="I324" s="6" t="s">
        <v>126</v>
      </c>
      <c r="J324" s="6" t="s">
        <v>2945</v>
      </c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105" t="s">
        <v>2943</v>
      </c>
      <c r="AB324" s="7"/>
      <c r="AC324" s="7"/>
      <c r="AD324" s="7"/>
      <c r="AE324" s="7"/>
      <c r="AF324" s="7"/>
    </row>
    <row r="325">
      <c r="A325" s="15">
        <v>333.0</v>
      </c>
      <c r="B325" s="6" t="s">
        <v>2939</v>
      </c>
      <c r="C325" s="88" t="s">
        <v>2635</v>
      </c>
      <c r="D325" s="6">
        <v>2.019010013022E12</v>
      </c>
      <c r="E325" s="6">
        <v>1.0622319104E10</v>
      </c>
      <c r="F325" s="6" t="s">
        <v>2946</v>
      </c>
      <c r="G325" s="6" t="s">
        <v>2947</v>
      </c>
      <c r="H325" s="7"/>
      <c r="I325" s="6" t="s">
        <v>164</v>
      </c>
      <c r="J325" s="6" t="s">
        <v>2948</v>
      </c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105" t="s">
        <v>2943</v>
      </c>
      <c r="AB325" s="7"/>
      <c r="AC325" s="7"/>
      <c r="AD325" s="7"/>
      <c r="AE325" s="7"/>
      <c r="AF325" s="7"/>
    </row>
    <row r="326">
      <c r="A326" s="15">
        <v>334.0</v>
      </c>
      <c r="B326" s="6" t="s">
        <v>2939</v>
      </c>
      <c r="C326" s="88" t="s">
        <v>2635</v>
      </c>
      <c r="D326" s="6">
        <v>2.019010019525E12</v>
      </c>
      <c r="E326" s="6">
        <v>1.0622319105E10</v>
      </c>
      <c r="F326" s="6" t="s">
        <v>2949</v>
      </c>
      <c r="G326" s="6" t="s">
        <v>2950</v>
      </c>
      <c r="H326" s="6" t="s">
        <v>1912</v>
      </c>
      <c r="I326" s="6" t="s">
        <v>164</v>
      </c>
      <c r="J326" s="6" t="s">
        <v>2951</v>
      </c>
      <c r="K326" s="6">
        <v>123456.0</v>
      </c>
      <c r="L326" s="6">
        <v>8.284953649E9</v>
      </c>
      <c r="M326" s="6">
        <v>9.357621196E9</v>
      </c>
      <c r="N326" s="6">
        <v>8.55689701E9</v>
      </c>
      <c r="O326" s="6" t="s">
        <v>2952</v>
      </c>
      <c r="P326" s="6" t="s">
        <v>2953</v>
      </c>
      <c r="Q326" s="6" t="s">
        <v>2954</v>
      </c>
      <c r="R326" s="6" t="s">
        <v>135</v>
      </c>
      <c r="S326" s="6" t="s">
        <v>136</v>
      </c>
      <c r="T326" s="6">
        <v>143001.0</v>
      </c>
      <c r="U326" s="6" t="s">
        <v>169</v>
      </c>
      <c r="V326" s="6" t="s">
        <v>140</v>
      </c>
      <c r="W326" s="6" t="s">
        <v>141</v>
      </c>
      <c r="X326" s="6" t="s">
        <v>506</v>
      </c>
      <c r="Y326" s="6" t="s">
        <v>251</v>
      </c>
      <c r="Z326" s="28"/>
      <c r="AA326" s="105" t="s">
        <v>2943</v>
      </c>
      <c r="AB326" s="28"/>
      <c r="AC326" s="28"/>
      <c r="AD326" s="7"/>
      <c r="AE326" s="7"/>
      <c r="AF326" s="7"/>
    </row>
    <row r="327">
      <c r="A327" s="15">
        <v>335.0</v>
      </c>
      <c r="B327" s="6" t="s">
        <v>2939</v>
      </c>
      <c r="C327" s="88" t="s">
        <v>2635</v>
      </c>
      <c r="D327" s="6">
        <v>2.01901003186E12</v>
      </c>
      <c r="E327" s="6">
        <v>1.0622319106E10</v>
      </c>
      <c r="F327" s="6" t="s">
        <v>2955</v>
      </c>
      <c r="G327" s="6" t="s">
        <v>2956</v>
      </c>
      <c r="H327" s="6" t="s">
        <v>2957</v>
      </c>
      <c r="I327" s="6" t="s">
        <v>126</v>
      </c>
      <c r="J327" s="6" t="s">
        <v>2958</v>
      </c>
      <c r="K327" s="6" t="s">
        <v>2959</v>
      </c>
      <c r="L327" s="6">
        <v>8.847443369E9</v>
      </c>
      <c r="M327" s="6">
        <v>9.878166607E9</v>
      </c>
      <c r="N327" s="6">
        <v>9.87739391E9</v>
      </c>
      <c r="O327" s="6" t="s">
        <v>2960</v>
      </c>
      <c r="P327" s="6" t="s">
        <v>2961</v>
      </c>
      <c r="Q327" s="6" t="s">
        <v>2962</v>
      </c>
      <c r="R327" s="6" t="s">
        <v>1259</v>
      </c>
      <c r="S327" s="6" t="s">
        <v>136</v>
      </c>
      <c r="T327" s="6">
        <v>143001.0</v>
      </c>
      <c r="U327" s="6" t="s">
        <v>138</v>
      </c>
      <c r="V327" s="6" t="s">
        <v>187</v>
      </c>
      <c r="W327" s="6" t="s">
        <v>141</v>
      </c>
      <c r="X327" s="6" t="s">
        <v>143</v>
      </c>
      <c r="Y327" s="6" t="s">
        <v>251</v>
      </c>
      <c r="Z327" s="28"/>
      <c r="AA327" s="105" t="s">
        <v>2943</v>
      </c>
      <c r="AB327" s="28"/>
      <c r="AC327" s="28"/>
      <c r="AD327" s="7"/>
      <c r="AE327" s="7"/>
      <c r="AF327" s="7"/>
    </row>
    <row r="328">
      <c r="A328" s="15">
        <v>336.0</v>
      </c>
      <c r="B328" s="6" t="s">
        <v>2939</v>
      </c>
      <c r="C328" s="88" t="s">
        <v>2635</v>
      </c>
      <c r="D328" s="6">
        <v>2.019010032752E12</v>
      </c>
      <c r="E328" s="6">
        <v>1.0622319107E10</v>
      </c>
      <c r="F328" s="6" t="s">
        <v>2963</v>
      </c>
      <c r="G328" s="6" t="s">
        <v>2964</v>
      </c>
      <c r="H328" s="6" t="s">
        <v>1410</v>
      </c>
      <c r="I328" s="6" t="s">
        <v>164</v>
      </c>
      <c r="J328" s="6" t="s">
        <v>2965</v>
      </c>
      <c r="K328" s="6">
        <v>123456.0</v>
      </c>
      <c r="L328" s="6">
        <v>8.360938949E9</v>
      </c>
      <c r="M328" s="6">
        <v>9.878704515E9</v>
      </c>
      <c r="N328" s="55"/>
      <c r="O328" s="23">
        <v>36588.0</v>
      </c>
      <c r="P328" s="6" t="s">
        <v>2966</v>
      </c>
      <c r="Q328" s="6" t="s">
        <v>2967</v>
      </c>
      <c r="R328" s="6" t="s">
        <v>716</v>
      </c>
      <c r="S328" s="6" t="s">
        <v>136</v>
      </c>
      <c r="T328" s="6">
        <v>143401.0</v>
      </c>
      <c r="U328" s="6" t="s">
        <v>138</v>
      </c>
      <c r="V328" s="6" t="s">
        <v>140</v>
      </c>
      <c r="W328" s="6" t="s">
        <v>141</v>
      </c>
      <c r="X328" s="6" t="s">
        <v>208</v>
      </c>
      <c r="Y328" s="6" t="s">
        <v>144</v>
      </c>
      <c r="Z328" s="28"/>
      <c r="AA328" s="105" t="s">
        <v>2943</v>
      </c>
      <c r="AB328" s="28"/>
      <c r="AC328" s="28"/>
      <c r="AD328" s="7"/>
      <c r="AE328" s="7"/>
      <c r="AF328" s="7"/>
    </row>
    <row r="329">
      <c r="A329" s="15">
        <v>337.0</v>
      </c>
      <c r="B329" s="6" t="s">
        <v>2939</v>
      </c>
      <c r="C329" s="88" t="s">
        <v>2635</v>
      </c>
      <c r="D329" s="6">
        <v>2.019010048457E12</v>
      </c>
      <c r="E329" s="6">
        <v>1.0622319109E10</v>
      </c>
      <c r="F329" s="6" t="s">
        <v>2968</v>
      </c>
      <c r="G329" s="6" t="s">
        <v>528</v>
      </c>
      <c r="H329" s="6" t="s">
        <v>2969</v>
      </c>
      <c r="I329" s="6" t="s">
        <v>126</v>
      </c>
      <c r="J329" s="6" t="s">
        <v>2970</v>
      </c>
      <c r="K329" s="6" t="s">
        <v>2971</v>
      </c>
      <c r="L329" s="6">
        <v>7.837118873E9</v>
      </c>
      <c r="M329" s="6">
        <v>9.779147035E9</v>
      </c>
      <c r="N329" s="6">
        <v>9.779147035E9</v>
      </c>
      <c r="O329" s="6" t="s">
        <v>2972</v>
      </c>
      <c r="P329" s="6" t="s">
        <v>2973</v>
      </c>
      <c r="Q329" s="6" t="s">
        <v>2974</v>
      </c>
      <c r="R329" s="6" t="s">
        <v>135</v>
      </c>
      <c r="S329" s="6" t="s">
        <v>136</v>
      </c>
      <c r="T329" s="6">
        <v>143201.0</v>
      </c>
      <c r="U329" s="6" t="s">
        <v>138</v>
      </c>
      <c r="V329" s="6" t="s">
        <v>187</v>
      </c>
      <c r="W329" s="6" t="s">
        <v>141</v>
      </c>
      <c r="X329" s="6" t="s">
        <v>143</v>
      </c>
      <c r="Y329" s="6" t="s">
        <v>144</v>
      </c>
      <c r="Z329" s="28"/>
      <c r="AA329" s="105" t="s">
        <v>2943</v>
      </c>
      <c r="AB329" s="28"/>
      <c r="AC329" s="28"/>
      <c r="AD329" s="7"/>
      <c r="AE329" s="7"/>
      <c r="AF329" s="7"/>
    </row>
    <row r="330">
      <c r="A330" s="15">
        <v>338.0</v>
      </c>
      <c r="B330" s="6" t="s">
        <v>2939</v>
      </c>
      <c r="C330" s="88" t="s">
        <v>2635</v>
      </c>
      <c r="D330" s="6">
        <v>2.019010051222E12</v>
      </c>
      <c r="E330" s="6">
        <v>1.062231911E10</v>
      </c>
      <c r="F330" s="6" t="s">
        <v>2975</v>
      </c>
      <c r="G330" s="6" t="s">
        <v>359</v>
      </c>
      <c r="H330" s="6" t="s">
        <v>1783</v>
      </c>
      <c r="I330" s="6" t="s">
        <v>126</v>
      </c>
      <c r="J330" s="6" t="s">
        <v>2976</v>
      </c>
      <c r="K330" s="6" t="s">
        <v>2977</v>
      </c>
      <c r="L330" s="6">
        <v>6.283229092E9</v>
      </c>
      <c r="M330" s="6">
        <v>6.283229092E9</v>
      </c>
      <c r="N330" s="6">
        <v>6.283229092E9</v>
      </c>
      <c r="O330" s="6" t="s">
        <v>2978</v>
      </c>
      <c r="P330" s="6" t="s">
        <v>2979</v>
      </c>
      <c r="Q330" s="6" t="s">
        <v>2980</v>
      </c>
      <c r="R330" s="6" t="s">
        <v>2981</v>
      </c>
      <c r="S330" s="6" t="s">
        <v>136</v>
      </c>
      <c r="T330" s="6">
        <v>143001.0</v>
      </c>
      <c r="U330" s="6" t="s">
        <v>138</v>
      </c>
      <c r="V330" s="6" t="s">
        <v>187</v>
      </c>
      <c r="W330" s="6" t="s">
        <v>141</v>
      </c>
      <c r="X330" s="6" t="s">
        <v>143</v>
      </c>
      <c r="Y330" s="6" t="s">
        <v>144</v>
      </c>
      <c r="Z330" s="28"/>
      <c r="AA330" s="105" t="s">
        <v>2943</v>
      </c>
      <c r="AB330" s="28"/>
      <c r="AC330" s="28"/>
      <c r="AD330" s="7"/>
      <c r="AE330" s="7"/>
      <c r="AF330" s="7"/>
    </row>
    <row r="331">
      <c r="A331" s="15">
        <v>339.0</v>
      </c>
      <c r="B331" s="6" t="s">
        <v>2939</v>
      </c>
      <c r="C331" s="88" t="s">
        <v>2635</v>
      </c>
      <c r="D331" s="6">
        <v>2.019010056611E12</v>
      </c>
      <c r="E331" s="6">
        <v>1.0622319111E10</v>
      </c>
      <c r="F331" s="106" t="s">
        <v>2982</v>
      </c>
      <c r="G331" s="106" t="s">
        <v>2983</v>
      </c>
      <c r="H331" s="106" t="s">
        <v>2984</v>
      </c>
      <c r="I331" s="106" t="s">
        <v>126</v>
      </c>
      <c r="J331" s="106" t="s">
        <v>2985</v>
      </c>
      <c r="K331" s="106">
        <v>123456.0</v>
      </c>
      <c r="L331" s="106">
        <v>8.194862727E9</v>
      </c>
      <c r="M331" s="106">
        <v>9.814542726E9</v>
      </c>
      <c r="N331" s="106">
        <v>8.288862727E9</v>
      </c>
      <c r="O331" s="106" t="s">
        <v>2986</v>
      </c>
      <c r="P331" s="106" t="s">
        <v>2987</v>
      </c>
      <c r="Q331" s="106" t="s">
        <v>2988</v>
      </c>
      <c r="R331" s="106" t="s">
        <v>135</v>
      </c>
      <c r="S331" s="106" t="s">
        <v>136</v>
      </c>
      <c r="T331" s="106">
        <v>143001.0</v>
      </c>
      <c r="U331" s="106" t="s">
        <v>169</v>
      </c>
      <c r="V331" s="106" t="s">
        <v>187</v>
      </c>
      <c r="W331" s="106" t="s">
        <v>1746</v>
      </c>
      <c r="X331" s="106" t="s">
        <v>1982</v>
      </c>
      <c r="Y331" s="106" t="s">
        <v>251</v>
      </c>
      <c r="Z331" s="107"/>
      <c r="AA331" s="105" t="s">
        <v>2943</v>
      </c>
      <c r="AB331" s="107"/>
      <c r="AC331" s="107"/>
      <c r="AD331" s="108"/>
      <c r="AE331" s="108"/>
      <c r="AF331" s="108"/>
      <c r="AG331" s="109"/>
      <c r="AH331" s="109"/>
    </row>
    <row r="332">
      <c r="A332" s="15">
        <v>340.0</v>
      </c>
      <c r="B332" s="6" t="s">
        <v>2939</v>
      </c>
      <c r="C332" s="88" t="s">
        <v>2635</v>
      </c>
      <c r="D332" s="6">
        <v>2.02001001095E12</v>
      </c>
      <c r="E332" s="6">
        <v>1.0622319112E10</v>
      </c>
      <c r="F332" s="106" t="s">
        <v>2989</v>
      </c>
      <c r="G332" s="106" t="s">
        <v>2990</v>
      </c>
      <c r="H332" s="106" t="s">
        <v>2991</v>
      </c>
      <c r="I332" s="106" t="s">
        <v>126</v>
      </c>
      <c r="J332" s="106" t="s">
        <v>2992</v>
      </c>
      <c r="K332" s="106" t="s">
        <v>2993</v>
      </c>
      <c r="L332" s="106">
        <v>7.009177396E9</v>
      </c>
      <c r="M332" s="106">
        <v>9.872047484E9</v>
      </c>
      <c r="N332" s="106">
        <v>6.239823281E9</v>
      </c>
      <c r="O332" s="106" t="s">
        <v>2994</v>
      </c>
      <c r="P332" s="106" t="s">
        <v>2995</v>
      </c>
      <c r="Q332" s="106" t="s">
        <v>2996</v>
      </c>
      <c r="R332" s="106" t="s">
        <v>646</v>
      </c>
      <c r="S332" s="106" t="s">
        <v>136</v>
      </c>
      <c r="T332" s="106">
        <v>143505.0</v>
      </c>
      <c r="U332" s="106" t="s">
        <v>169</v>
      </c>
      <c r="V332" s="106" t="s">
        <v>187</v>
      </c>
      <c r="W332" s="106" t="s">
        <v>141</v>
      </c>
      <c r="X332" s="106" t="s">
        <v>143</v>
      </c>
      <c r="Y332" s="106" t="s">
        <v>251</v>
      </c>
      <c r="Z332" s="107"/>
      <c r="AA332" s="105" t="s">
        <v>2943</v>
      </c>
      <c r="AB332" s="107"/>
      <c r="AC332" s="107"/>
      <c r="AD332" s="108"/>
      <c r="AE332" s="108"/>
      <c r="AF332" s="108"/>
      <c r="AG332" s="109"/>
      <c r="AH332" s="109"/>
    </row>
    <row r="333">
      <c r="A333" s="15">
        <v>341.0</v>
      </c>
      <c r="B333" s="6" t="s">
        <v>2939</v>
      </c>
      <c r="C333" s="88" t="s">
        <v>2635</v>
      </c>
      <c r="D333" s="6">
        <v>2.020010016913E12</v>
      </c>
      <c r="E333" s="6">
        <v>1.0622319113E10</v>
      </c>
      <c r="F333" s="106" t="s">
        <v>2997</v>
      </c>
      <c r="G333" s="106" t="s">
        <v>2998</v>
      </c>
      <c r="H333" s="106" t="s">
        <v>2999</v>
      </c>
      <c r="I333" s="106" t="s">
        <v>126</v>
      </c>
      <c r="J333" s="106" t="s">
        <v>3000</v>
      </c>
      <c r="K333" s="106">
        <v>123456.0</v>
      </c>
      <c r="L333" s="106">
        <v>9.193800026E9</v>
      </c>
      <c r="M333" s="106">
        <v>9.855500052E9</v>
      </c>
      <c r="N333" s="106">
        <v>9.888877011E9</v>
      </c>
      <c r="O333" s="106" t="s">
        <v>3001</v>
      </c>
      <c r="P333" s="106" t="s">
        <v>3002</v>
      </c>
      <c r="Q333" s="106" t="s">
        <v>3003</v>
      </c>
      <c r="R333" s="106" t="s">
        <v>716</v>
      </c>
      <c r="S333" s="106" t="s">
        <v>136</v>
      </c>
      <c r="T333" s="106">
        <v>143401.0</v>
      </c>
      <c r="U333" s="106" t="s">
        <v>169</v>
      </c>
      <c r="V333" s="106" t="s">
        <v>187</v>
      </c>
      <c r="W333" s="106" t="s">
        <v>141</v>
      </c>
      <c r="X333" s="106" t="s">
        <v>208</v>
      </c>
      <c r="Y333" s="106" t="s">
        <v>144</v>
      </c>
      <c r="Z333" s="107"/>
      <c r="AA333" s="105" t="s">
        <v>2943</v>
      </c>
      <c r="AB333" s="107"/>
      <c r="AC333" s="107"/>
      <c r="AD333" s="108"/>
      <c r="AE333" s="108"/>
      <c r="AF333" s="108"/>
      <c r="AG333" s="109"/>
      <c r="AH333" s="109"/>
    </row>
    <row r="334">
      <c r="A334" s="15">
        <v>342.0</v>
      </c>
      <c r="B334" s="6" t="s">
        <v>2939</v>
      </c>
      <c r="C334" s="88" t="s">
        <v>2635</v>
      </c>
      <c r="D334" s="6">
        <v>2.02001001989E12</v>
      </c>
      <c r="E334" s="6">
        <v>1.0622319114E10</v>
      </c>
      <c r="F334" s="106" t="s">
        <v>3004</v>
      </c>
      <c r="G334" s="106" t="s">
        <v>3005</v>
      </c>
      <c r="H334" s="106" t="s">
        <v>3006</v>
      </c>
      <c r="I334" s="106" t="s">
        <v>126</v>
      </c>
      <c r="J334" s="106" t="s">
        <v>3007</v>
      </c>
      <c r="K334" s="106">
        <v>8.872453735E9</v>
      </c>
      <c r="L334" s="106">
        <v>7.814234707E9</v>
      </c>
      <c r="M334" s="106">
        <v>8.872453735E9</v>
      </c>
      <c r="N334" s="106">
        <v>9.780057008E9</v>
      </c>
      <c r="O334" s="106" t="s">
        <v>3008</v>
      </c>
      <c r="P334" s="106" t="s">
        <v>3009</v>
      </c>
      <c r="Q334" s="106" t="s">
        <v>3010</v>
      </c>
      <c r="R334" s="106" t="s">
        <v>135</v>
      </c>
      <c r="S334" s="106" t="s">
        <v>136</v>
      </c>
      <c r="T334" s="106">
        <v>143301.0</v>
      </c>
      <c r="U334" s="106" t="s">
        <v>169</v>
      </c>
      <c r="V334" s="106" t="s">
        <v>187</v>
      </c>
      <c r="W334" s="106" t="s">
        <v>141</v>
      </c>
      <c r="X334" s="106" t="s">
        <v>208</v>
      </c>
      <c r="Y334" s="106" t="s">
        <v>1627</v>
      </c>
      <c r="Z334" s="107"/>
      <c r="AA334" s="105" t="s">
        <v>2943</v>
      </c>
      <c r="AB334" s="107"/>
      <c r="AC334" s="107"/>
      <c r="AD334" s="108"/>
      <c r="AE334" s="108"/>
      <c r="AF334" s="108"/>
      <c r="AG334" s="109"/>
      <c r="AH334" s="109"/>
    </row>
    <row r="335">
      <c r="A335" s="15">
        <v>343.0</v>
      </c>
      <c r="B335" s="6" t="s">
        <v>2939</v>
      </c>
      <c r="C335" s="88" t="s">
        <v>2635</v>
      </c>
      <c r="D335" s="6">
        <v>2.022010047656E12</v>
      </c>
      <c r="E335" s="6">
        <v>1.0622319117E10</v>
      </c>
      <c r="F335" s="106" t="s">
        <v>3011</v>
      </c>
      <c r="G335" s="106" t="s">
        <v>3012</v>
      </c>
      <c r="H335" s="108"/>
      <c r="I335" s="106" t="s">
        <v>164</v>
      </c>
      <c r="J335" s="106" t="s">
        <v>3013</v>
      </c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5" t="s">
        <v>2943</v>
      </c>
      <c r="AB335" s="108"/>
      <c r="AC335" s="108"/>
      <c r="AD335" s="108"/>
      <c r="AE335" s="108"/>
      <c r="AF335" s="108"/>
      <c r="AG335" s="109"/>
      <c r="AH335" s="109"/>
    </row>
    <row r="336">
      <c r="A336" s="15">
        <v>344.0</v>
      </c>
      <c r="B336" s="6" t="s">
        <v>2939</v>
      </c>
      <c r="C336" s="88" t="s">
        <v>2635</v>
      </c>
      <c r="D336" s="6">
        <v>2.02301016962E12</v>
      </c>
      <c r="E336" s="6">
        <v>1.0622319119E10</v>
      </c>
      <c r="F336" s="106" t="s">
        <v>3014</v>
      </c>
      <c r="G336" s="106" t="s">
        <v>3015</v>
      </c>
      <c r="H336" s="106" t="s">
        <v>3016</v>
      </c>
      <c r="I336" s="106" t="s">
        <v>126</v>
      </c>
      <c r="J336" s="106" t="s">
        <v>3017</v>
      </c>
      <c r="K336" s="106">
        <v>123456.0</v>
      </c>
      <c r="L336" s="106">
        <v>9.87299513E9</v>
      </c>
      <c r="M336" s="106">
        <v>7.837891818E9</v>
      </c>
      <c r="N336" s="106">
        <v>9.80390013E9</v>
      </c>
      <c r="O336" s="110">
        <v>33855.0</v>
      </c>
      <c r="P336" s="106" t="s">
        <v>3018</v>
      </c>
      <c r="Q336" s="106" t="s">
        <v>3019</v>
      </c>
      <c r="R336" s="106" t="s">
        <v>135</v>
      </c>
      <c r="S336" s="106" t="s">
        <v>136</v>
      </c>
      <c r="T336" s="106">
        <v>143149.0</v>
      </c>
      <c r="U336" s="106" t="s">
        <v>169</v>
      </c>
      <c r="V336" s="106" t="s">
        <v>187</v>
      </c>
      <c r="W336" s="106" t="s">
        <v>1746</v>
      </c>
      <c r="X336" s="106" t="s">
        <v>143</v>
      </c>
      <c r="Y336" s="106" t="s">
        <v>251</v>
      </c>
      <c r="Z336" s="107"/>
      <c r="AA336" s="105" t="s">
        <v>2943</v>
      </c>
      <c r="AB336" s="107"/>
      <c r="AC336" s="107"/>
      <c r="AD336" s="108"/>
      <c r="AE336" s="108"/>
      <c r="AF336" s="111" t="s">
        <v>3020</v>
      </c>
      <c r="AG336" s="109"/>
      <c r="AH336" s="109"/>
    </row>
    <row r="337">
      <c r="A337" s="15">
        <v>345.0</v>
      </c>
      <c r="B337" s="6" t="s">
        <v>2939</v>
      </c>
      <c r="C337" s="88" t="s">
        <v>2635</v>
      </c>
      <c r="D337" s="6">
        <v>2.023010169635E12</v>
      </c>
      <c r="E337" s="6">
        <v>1.0622319121E10</v>
      </c>
      <c r="F337" s="106" t="s">
        <v>3021</v>
      </c>
      <c r="G337" s="106" t="s">
        <v>3022</v>
      </c>
      <c r="H337" s="108"/>
      <c r="I337" s="106" t="s">
        <v>126</v>
      </c>
      <c r="J337" s="106" t="s">
        <v>3023</v>
      </c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5" t="s">
        <v>2943</v>
      </c>
      <c r="AB337" s="108"/>
      <c r="AC337" s="108"/>
      <c r="AD337" s="108"/>
      <c r="AE337" s="108"/>
      <c r="AF337" s="108"/>
      <c r="AG337" s="109"/>
      <c r="AH337" s="109"/>
    </row>
    <row r="338">
      <c r="A338" s="15">
        <v>346.0</v>
      </c>
      <c r="B338" s="6" t="s">
        <v>2939</v>
      </c>
      <c r="C338" s="88" t="s">
        <v>2635</v>
      </c>
      <c r="D338" s="6">
        <v>2.023010169693E12</v>
      </c>
      <c r="E338" s="6">
        <v>1.0622319124E10</v>
      </c>
      <c r="F338" s="106" t="s">
        <v>1375</v>
      </c>
      <c r="G338" s="106" t="s">
        <v>359</v>
      </c>
      <c r="H338" s="106" t="s">
        <v>1410</v>
      </c>
      <c r="I338" s="106" t="s">
        <v>164</v>
      </c>
      <c r="J338" s="106" t="s">
        <v>3024</v>
      </c>
      <c r="K338" s="106">
        <v>123456.0</v>
      </c>
      <c r="L338" s="106">
        <v>9.877517191E9</v>
      </c>
      <c r="M338" s="106">
        <v>6.239105536E9</v>
      </c>
      <c r="N338" s="106">
        <v>8.725973682E9</v>
      </c>
      <c r="O338" s="106" t="s">
        <v>3025</v>
      </c>
      <c r="P338" s="106" t="s">
        <v>3026</v>
      </c>
      <c r="Q338" s="106" t="s">
        <v>3027</v>
      </c>
      <c r="R338" s="106" t="s">
        <v>135</v>
      </c>
      <c r="S338" s="106" t="s">
        <v>136</v>
      </c>
      <c r="T338" s="106">
        <v>143001.0</v>
      </c>
      <c r="U338" s="106" t="s">
        <v>138</v>
      </c>
      <c r="V338" s="106" t="s">
        <v>140</v>
      </c>
      <c r="W338" s="106" t="s">
        <v>141</v>
      </c>
      <c r="X338" s="106" t="s">
        <v>965</v>
      </c>
      <c r="Y338" s="106" t="s">
        <v>144</v>
      </c>
      <c r="Z338" s="107"/>
      <c r="AA338" s="105" t="s">
        <v>2943</v>
      </c>
      <c r="AB338" s="107"/>
      <c r="AC338" s="107"/>
      <c r="AD338" s="108"/>
      <c r="AE338" s="108"/>
      <c r="AF338" s="108"/>
      <c r="AG338" s="109"/>
      <c r="AH338" s="109"/>
    </row>
    <row r="339">
      <c r="A339" s="15">
        <v>347.0</v>
      </c>
      <c r="B339" s="6" t="s">
        <v>2939</v>
      </c>
      <c r="C339" s="88" t="s">
        <v>2635</v>
      </c>
      <c r="D339" s="6">
        <v>2.023010169735E12</v>
      </c>
      <c r="E339" s="6">
        <v>1.0622319126E10</v>
      </c>
      <c r="F339" s="106" t="s">
        <v>3028</v>
      </c>
      <c r="G339" s="106" t="s">
        <v>3029</v>
      </c>
      <c r="H339" s="108"/>
      <c r="I339" s="106" t="s">
        <v>164</v>
      </c>
      <c r="J339" s="106" t="s">
        <v>3030</v>
      </c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5" t="s">
        <v>2943</v>
      </c>
      <c r="AB339" s="108"/>
      <c r="AC339" s="108"/>
      <c r="AD339" s="108"/>
      <c r="AE339" s="108"/>
      <c r="AF339" s="108"/>
      <c r="AG339" s="109"/>
      <c r="AH339" s="109"/>
    </row>
    <row r="340">
      <c r="A340" s="15">
        <v>348.0</v>
      </c>
      <c r="B340" s="6" t="s">
        <v>2939</v>
      </c>
      <c r="C340" s="88" t="s">
        <v>2635</v>
      </c>
      <c r="D340" s="6">
        <v>2.023010170126E12</v>
      </c>
      <c r="E340" s="6">
        <v>1.0622319128E10</v>
      </c>
      <c r="F340" s="106" t="s">
        <v>3031</v>
      </c>
      <c r="G340" s="106" t="s">
        <v>3032</v>
      </c>
      <c r="H340" s="106" t="s">
        <v>3033</v>
      </c>
      <c r="I340" s="106" t="s">
        <v>164</v>
      </c>
      <c r="J340" s="106" t="s">
        <v>3034</v>
      </c>
      <c r="K340" s="106">
        <v>123456.0</v>
      </c>
      <c r="L340" s="106">
        <v>9.988402805E9</v>
      </c>
      <c r="M340" s="106">
        <v>7.009109602E9</v>
      </c>
      <c r="N340" s="106">
        <v>9.988402805E9</v>
      </c>
      <c r="O340" s="110">
        <v>33726.0</v>
      </c>
      <c r="P340" s="106" t="s">
        <v>3035</v>
      </c>
      <c r="Q340" s="106" t="s">
        <v>3036</v>
      </c>
      <c r="R340" s="106" t="s">
        <v>1722</v>
      </c>
      <c r="S340" s="106" t="s">
        <v>136</v>
      </c>
      <c r="T340" s="106">
        <v>143115.0</v>
      </c>
      <c r="U340" s="106" t="s">
        <v>138</v>
      </c>
      <c r="V340" s="106" t="s">
        <v>140</v>
      </c>
      <c r="W340" s="106" t="s">
        <v>141</v>
      </c>
      <c r="X340" s="106" t="s">
        <v>208</v>
      </c>
      <c r="Y340" s="106" t="s">
        <v>144</v>
      </c>
      <c r="Z340" s="107"/>
      <c r="AA340" s="105" t="s">
        <v>2943</v>
      </c>
      <c r="AB340" s="107"/>
      <c r="AC340" s="107"/>
      <c r="AD340" s="108"/>
      <c r="AE340" s="108"/>
      <c r="AF340" s="108"/>
      <c r="AG340" s="109"/>
      <c r="AH340" s="109"/>
    </row>
    <row r="341">
      <c r="A341" s="112">
        <v>349.0</v>
      </c>
      <c r="B341" s="47" t="s">
        <v>265</v>
      </c>
      <c r="C341" s="17" t="s">
        <v>116</v>
      </c>
      <c r="D341" s="113">
        <v>2.018010016151E12</v>
      </c>
      <c r="E341" s="113">
        <v>1.2242524701E10</v>
      </c>
      <c r="F341" s="114" t="s">
        <v>3037</v>
      </c>
      <c r="G341" s="114" t="s">
        <v>3038</v>
      </c>
      <c r="H341" s="114" t="s">
        <v>2353</v>
      </c>
      <c r="I341" s="114" t="s">
        <v>126</v>
      </c>
      <c r="J341" s="114" t="s">
        <v>3039</v>
      </c>
      <c r="K341" s="114">
        <v>123456.0</v>
      </c>
      <c r="L341" s="114">
        <v>6.284259699E9</v>
      </c>
      <c r="M341" s="114">
        <v>9.417323835E9</v>
      </c>
      <c r="N341" s="114">
        <v>7.009352989E9</v>
      </c>
      <c r="O341" s="115">
        <v>36523.0</v>
      </c>
      <c r="P341" s="114" t="s">
        <v>3040</v>
      </c>
      <c r="Q341" s="114" t="s">
        <v>3041</v>
      </c>
      <c r="R341" s="114" t="s">
        <v>135</v>
      </c>
      <c r="S341" s="114" t="s">
        <v>136</v>
      </c>
      <c r="T341" s="114">
        <v>143001.0</v>
      </c>
      <c r="U341" s="114" t="s">
        <v>321</v>
      </c>
      <c r="V341" s="114" t="s">
        <v>156</v>
      </c>
      <c r="W341" s="116"/>
      <c r="X341" s="114" t="s">
        <v>208</v>
      </c>
      <c r="Y341" s="114" t="s">
        <v>992</v>
      </c>
      <c r="Z341" s="117"/>
      <c r="AA341" s="116"/>
      <c r="AB341" s="118"/>
      <c r="AC341" s="118"/>
      <c r="AD341" s="118"/>
      <c r="AE341" s="118"/>
      <c r="AF341" s="119" t="s">
        <v>3042</v>
      </c>
      <c r="AG341" s="116"/>
      <c r="AH341" s="116"/>
      <c r="AI341" s="116"/>
      <c r="AJ341" s="116"/>
      <c r="AK341" s="116"/>
      <c r="AL341" s="116"/>
      <c r="AM341" s="116"/>
      <c r="AN341" s="116"/>
      <c r="AO341" s="116"/>
      <c r="AP341" s="116"/>
      <c r="AQ341" s="116"/>
      <c r="AR341" s="116"/>
      <c r="AS341" s="116"/>
      <c r="AT341" s="116"/>
      <c r="AU341" s="116"/>
      <c r="AV341" s="116"/>
    </row>
    <row r="342">
      <c r="A342" s="15">
        <v>350.0</v>
      </c>
      <c r="B342" s="47" t="s">
        <v>265</v>
      </c>
      <c r="C342" s="17" t="s">
        <v>116</v>
      </c>
      <c r="D342" s="120">
        <v>2.022010047552E12</v>
      </c>
      <c r="E342" s="121">
        <v>1.2242524702E10</v>
      </c>
      <c r="F342" s="114" t="s">
        <v>3043</v>
      </c>
      <c r="G342" s="114" t="s">
        <v>3044</v>
      </c>
      <c r="H342" s="114" t="s">
        <v>821</v>
      </c>
      <c r="I342" s="114" t="s">
        <v>164</v>
      </c>
      <c r="J342" s="114" t="s">
        <v>3045</v>
      </c>
      <c r="K342" s="114">
        <v>123456.0</v>
      </c>
      <c r="L342" s="114">
        <v>7.589051411E9</v>
      </c>
      <c r="M342" s="114">
        <v>9.888258911E9</v>
      </c>
      <c r="N342" s="114">
        <v>9.81597512E9</v>
      </c>
      <c r="O342" s="115">
        <v>37896.0</v>
      </c>
      <c r="P342" s="114" t="s">
        <v>3046</v>
      </c>
      <c r="Q342" s="114" t="s">
        <v>3047</v>
      </c>
      <c r="R342" s="114" t="s">
        <v>135</v>
      </c>
      <c r="S342" s="114" t="s">
        <v>136</v>
      </c>
      <c r="T342" s="114">
        <v>143001.0</v>
      </c>
      <c r="U342" s="114" t="s">
        <v>2064</v>
      </c>
      <c r="V342" s="114" t="s">
        <v>66</v>
      </c>
      <c r="W342" s="116"/>
      <c r="X342" s="114" t="s">
        <v>143</v>
      </c>
      <c r="Y342" s="114" t="s">
        <v>992</v>
      </c>
      <c r="Z342" s="122"/>
      <c r="AA342" s="116"/>
      <c r="AB342" s="123"/>
      <c r="AC342" s="123"/>
      <c r="AD342" s="124"/>
      <c r="AE342" s="124"/>
      <c r="AF342" s="125">
        <v>4.05926362651E11</v>
      </c>
      <c r="AG342" s="109"/>
      <c r="AH342" s="109"/>
    </row>
    <row r="343">
      <c r="A343" s="15">
        <v>351.0</v>
      </c>
      <c r="B343" s="47" t="s">
        <v>265</v>
      </c>
      <c r="C343" s="17" t="s">
        <v>116</v>
      </c>
      <c r="D343" s="113">
        <v>2.023010078828E12</v>
      </c>
      <c r="E343" s="113">
        <v>1.2242524703E10</v>
      </c>
      <c r="F343" s="114" t="s">
        <v>3048</v>
      </c>
      <c r="G343" s="114" t="s">
        <v>3049</v>
      </c>
      <c r="H343" s="114" t="s">
        <v>1734</v>
      </c>
      <c r="I343" s="114" t="s">
        <v>126</v>
      </c>
      <c r="J343" s="114" t="s">
        <v>278</v>
      </c>
      <c r="K343" s="114">
        <v>123456.0</v>
      </c>
      <c r="L343" s="114">
        <v>9.653212445E9</v>
      </c>
      <c r="M343" s="114">
        <v>7.413867435E9</v>
      </c>
      <c r="N343" s="114">
        <v>7.973574905E9</v>
      </c>
      <c r="O343" s="115">
        <v>37844.0</v>
      </c>
      <c r="P343" s="114" t="s">
        <v>3050</v>
      </c>
      <c r="Q343" s="114" t="s">
        <v>3051</v>
      </c>
      <c r="R343" s="114" t="s">
        <v>437</v>
      </c>
      <c r="S343" s="114" t="s">
        <v>136</v>
      </c>
      <c r="T343" s="114">
        <v>143411.0</v>
      </c>
      <c r="U343" s="114" t="s">
        <v>2064</v>
      </c>
      <c r="V343" s="114" t="s">
        <v>156</v>
      </c>
      <c r="W343" s="116"/>
      <c r="X343" s="114" t="s">
        <v>3052</v>
      </c>
      <c r="Y343" s="114" t="s">
        <v>3053</v>
      </c>
      <c r="Z343" s="122"/>
      <c r="AA343" s="116"/>
      <c r="AB343" s="123"/>
      <c r="AC343" s="123"/>
      <c r="AD343" s="124"/>
      <c r="AE343" s="124"/>
      <c r="AF343" s="119">
        <v>9.7211417138E11</v>
      </c>
      <c r="AG343" s="109"/>
      <c r="AH343" s="109"/>
    </row>
    <row r="344">
      <c r="A344" s="15">
        <v>352.0</v>
      </c>
      <c r="B344" s="47" t="s">
        <v>265</v>
      </c>
      <c r="C344" s="17" t="s">
        <v>116</v>
      </c>
      <c r="D344" s="121">
        <v>2.024010000529E12</v>
      </c>
      <c r="E344" s="121">
        <v>1.2242524704E10</v>
      </c>
      <c r="F344" s="114" t="s">
        <v>3054</v>
      </c>
      <c r="G344" s="114" t="s">
        <v>3055</v>
      </c>
      <c r="H344" s="114" t="s">
        <v>1011</v>
      </c>
      <c r="I344" s="114" t="s">
        <v>126</v>
      </c>
      <c r="J344" s="114" t="s">
        <v>302</v>
      </c>
      <c r="K344" s="114">
        <v>123456.0</v>
      </c>
      <c r="L344" s="114">
        <v>7.009596322E9</v>
      </c>
      <c r="M344" s="114">
        <v>8.725995633E9</v>
      </c>
      <c r="N344" s="114">
        <v>8.968653954E9</v>
      </c>
      <c r="O344" s="115">
        <v>38091.0</v>
      </c>
      <c r="P344" s="114" t="s">
        <v>3056</v>
      </c>
      <c r="Q344" s="114" t="s">
        <v>3057</v>
      </c>
      <c r="R344" s="114" t="s">
        <v>3058</v>
      </c>
      <c r="S344" s="114" t="s">
        <v>136</v>
      </c>
      <c r="T344" s="114">
        <v>143303.0</v>
      </c>
      <c r="U344" s="114" t="s">
        <v>991</v>
      </c>
      <c r="V344" s="114" t="s">
        <v>156</v>
      </c>
      <c r="W344" s="126" t="s">
        <v>141</v>
      </c>
      <c r="X344" s="114" t="s">
        <v>229</v>
      </c>
      <c r="Y344" s="114" t="s">
        <v>992</v>
      </c>
      <c r="Z344" s="114" t="s">
        <v>80</v>
      </c>
      <c r="AA344" s="126" t="s">
        <v>3059</v>
      </c>
      <c r="AB344" s="123"/>
      <c r="AC344" s="123"/>
      <c r="AD344" s="124"/>
      <c r="AE344" s="124"/>
      <c r="AF344" s="125">
        <v>2.66538853011E11</v>
      </c>
      <c r="AG344" s="109"/>
      <c r="AH344" s="109"/>
    </row>
    <row r="345">
      <c r="A345" s="15">
        <v>353.0</v>
      </c>
      <c r="B345" s="47" t="s">
        <v>265</v>
      </c>
      <c r="C345" s="17" t="s">
        <v>116</v>
      </c>
      <c r="D345" s="113">
        <v>2.024010003944E12</v>
      </c>
      <c r="E345" s="113">
        <v>1.2242524705E10</v>
      </c>
      <c r="F345" s="114" t="s">
        <v>3060</v>
      </c>
      <c r="G345" s="114" t="s">
        <v>3061</v>
      </c>
      <c r="H345" s="114" t="s">
        <v>320</v>
      </c>
      <c r="I345" s="114" t="s">
        <v>164</v>
      </c>
      <c r="J345" s="114" t="s">
        <v>322</v>
      </c>
      <c r="K345" s="114">
        <v>123456.0</v>
      </c>
      <c r="L345" s="114">
        <v>6.283470476E9</v>
      </c>
      <c r="M345" s="114">
        <v>9.872143141E9</v>
      </c>
      <c r="N345" s="114">
        <v>8.264809309E9</v>
      </c>
      <c r="O345" s="115">
        <v>38086.0</v>
      </c>
      <c r="P345" s="114" t="s">
        <v>3062</v>
      </c>
      <c r="Q345" s="114" t="s">
        <v>3063</v>
      </c>
      <c r="R345" s="114" t="s">
        <v>3058</v>
      </c>
      <c r="S345" s="114" t="s">
        <v>136</v>
      </c>
      <c r="T345" s="114">
        <v>143303.0</v>
      </c>
      <c r="U345" s="114" t="s">
        <v>3064</v>
      </c>
      <c r="V345" s="114" t="s">
        <v>66</v>
      </c>
      <c r="W345" s="126" t="s">
        <v>141</v>
      </c>
      <c r="X345" s="114" t="s">
        <v>793</v>
      </c>
      <c r="Y345" s="114" t="s">
        <v>992</v>
      </c>
      <c r="Z345" s="122"/>
      <c r="AA345" s="126" t="s">
        <v>3059</v>
      </c>
      <c r="AB345" s="123"/>
      <c r="AC345" s="123"/>
      <c r="AD345" s="124"/>
      <c r="AE345" s="124"/>
      <c r="AF345" s="119">
        <v>9.05426258192E11</v>
      </c>
      <c r="AG345" s="109"/>
      <c r="AH345" s="109"/>
    </row>
    <row r="346">
      <c r="A346" s="15">
        <v>354.0</v>
      </c>
      <c r="B346" s="47" t="s">
        <v>265</v>
      </c>
      <c r="C346" s="17" t="s">
        <v>116</v>
      </c>
      <c r="D346" s="121">
        <v>2.024010004153E12</v>
      </c>
      <c r="E346" s="121">
        <v>1.2242524706E10</v>
      </c>
      <c r="F346" s="114" t="s">
        <v>3065</v>
      </c>
      <c r="G346" s="114" t="s">
        <v>3066</v>
      </c>
      <c r="H346" s="114" t="s">
        <v>339</v>
      </c>
      <c r="I346" s="114" t="s">
        <v>164</v>
      </c>
      <c r="J346" s="114" t="s">
        <v>342</v>
      </c>
      <c r="K346" s="114">
        <v>123456.0</v>
      </c>
      <c r="L346" s="114">
        <v>8.360508047E9</v>
      </c>
      <c r="M346" s="114">
        <v>8.05414005E9</v>
      </c>
      <c r="N346" s="114">
        <v>8.05414005E9</v>
      </c>
      <c r="O346" s="115">
        <v>38763.0</v>
      </c>
      <c r="P346" s="114" t="s">
        <v>3067</v>
      </c>
      <c r="Q346" s="114" t="s">
        <v>3068</v>
      </c>
      <c r="R346" s="114" t="s">
        <v>135</v>
      </c>
      <c r="S346" s="114" t="s">
        <v>136</v>
      </c>
      <c r="T346" s="114">
        <v>143001.0</v>
      </c>
      <c r="U346" s="114" t="s">
        <v>3069</v>
      </c>
      <c r="V346" s="114" t="s">
        <v>66</v>
      </c>
      <c r="W346" s="126" t="s">
        <v>141</v>
      </c>
      <c r="X346" s="114" t="s">
        <v>3070</v>
      </c>
      <c r="Y346" s="114" t="s">
        <v>2642</v>
      </c>
      <c r="Z346" s="122"/>
      <c r="AA346" s="116"/>
      <c r="AB346" s="123"/>
      <c r="AC346" s="123"/>
      <c r="AD346" s="124"/>
      <c r="AE346" s="124"/>
      <c r="AF346" s="125">
        <v>7.76243763096E11</v>
      </c>
      <c r="AG346" s="109"/>
      <c r="AH346" s="109"/>
    </row>
    <row r="347">
      <c r="A347" s="15">
        <v>355.0</v>
      </c>
      <c r="B347" s="47" t="s">
        <v>265</v>
      </c>
      <c r="C347" s="17" t="s">
        <v>116</v>
      </c>
      <c r="D347" s="113">
        <v>2.024010006505E12</v>
      </c>
      <c r="E347" s="113">
        <v>1.2242524707E10</v>
      </c>
      <c r="F347" s="114" t="s">
        <v>3071</v>
      </c>
      <c r="G347" s="114" t="s">
        <v>3072</v>
      </c>
      <c r="H347" s="114" t="s">
        <v>360</v>
      </c>
      <c r="I347" s="114" t="s">
        <v>126</v>
      </c>
      <c r="J347" s="114" t="s">
        <v>3073</v>
      </c>
      <c r="K347" s="114">
        <v>123456.0</v>
      </c>
      <c r="L347" s="114" t="s">
        <v>3074</v>
      </c>
      <c r="M347" s="114" t="s">
        <v>3075</v>
      </c>
      <c r="N347" s="114">
        <v>8.427566462E9</v>
      </c>
      <c r="O347" s="115">
        <v>39664.0</v>
      </c>
      <c r="P347" s="114" t="s">
        <v>3076</v>
      </c>
      <c r="Q347" s="114" t="s">
        <v>3077</v>
      </c>
      <c r="R347" s="114" t="s">
        <v>716</v>
      </c>
      <c r="S347" s="114" t="s">
        <v>136</v>
      </c>
      <c r="T347" s="114">
        <v>143001.0</v>
      </c>
      <c r="U347" s="114" t="s">
        <v>1598</v>
      </c>
      <c r="V347" s="114" t="s">
        <v>156</v>
      </c>
      <c r="W347" s="126" t="s">
        <v>141</v>
      </c>
      <c r="X347" s="114" t="s">
        <v>793</v>
      </c>
      <c r="Y347" s="114" t="s">
        <v>3078</v>
      </c>
      <c r="Z347" s="114" t="s">
        <v>80</v>
      </c>
      <c r="AA347" s="116"/>
      <c r="AB347" s="123"/>
      <c r="AC347" s="123"/>
      <c r="AD347" s="124"/>
      <c r="AE347" s="124"/>
      <c r="AF347" s="119">
        <v>3.61043366338E11</v>
      </c>
      <c r="AG347" s="109"/>
      <c r="AH347" s="109"/>
    </row>
    <row r="348">
      <c r="A348" s="15">
        <v>356.0</v>
      </c>
      <c r="B348" s="47" t="s">
        <v>265</v>
      </c>
      <c r="C348" s="17" t="s">
        <v>116</v>
      </c>
      <c r="D348" s="121">
        <v>2.024010006697E12</v>
      </c>
      <c r="E348" s="121">
        <v>1.2242524708E10</v>
      </c>
      <c r="F348" s="114" t="s">
        <v>382</v>
      </c>
      <c r="G348" s="114" t="s">
        <v>384</v>
      </c>
      <c r="H348" s="114" t="s">
        <v>3079</v>
      </c>
      <c r="I348" s="114" t="s">
        <v>164</v>
      </c>
      <c r="J348" s="114" t="s">
        <v>386</v>
      </c>
      <c r="K348" s="114">
        <v>123456.0</v>
      </c>
      <c r="L348" s="114">
        <v>8.054575169E9</v>
      </c>
      <c r="M348" s="114">
        <v>7.380241922E9</v>
      </c>
      <c r="N348" s="114">
        <v>9.622675169E9</v>
      </c>
      <c r="O348" s="115">
        <v>38649.0</v>
      </c>
      <c r="P348" s="114" t="s">
        <v>3080</v>
      </c>
      <c r="Q348" s="114" t="s">
        <v>3081</v>
      </c>
      <c r="R348" s="114" t="s">
        <v>135</v>
      </c>
      <c r="S348" s="114" t="s">
        <v>136</v>
      </c>
      <c r="T348" s="114">
        <v>143109.0</v>
      </c>
      <c r="U348" s="114" t="s">
        <v>991</v>
      </c>
      <c r="V348" s="114" t="s">
        <v>66</v>
      </c>
      <c r="W348" s="126" t="s">
        <v>141</v>
      </c>
      <c r="X348" s="114" t="s">
        <v>143</v>
      </c>
      <c r="Y348" s="114" t="s">
        <v>992</v>
      </c>
      <c r="Z348" s="114" t="s">
        <v>80</v>
      </c>
      <c r="AA348" s="116"/>
      <c r="AB348" s="123"/>
      <c r="AC348" s="123"/>
      <c r="AD348" s="124"/>
      <c r="AE348" s="124"/>
      <c r="AF348" s="125">
        <v>9.46390459141E11</v>
      </c>
      <c r="AG348" s="109"/>
      <c r="AH348" s="109"/>
    </row>
    <row r="349">
      <c r="A349" s="15">
        <v>357.0</v>
      </c>
      <c r="B349" s="47" t="s">
        <v>265</v>
      </c>
      <c r="C349" s="17" t="s">
        <v>116</v>
      </c>
      <c r="D349" s="113">
        <v>2.024010018478E12</v>
      </c>
      <c r="E349" s="113">
        <v>1.2242524709E10</v>
      </c>
      <c r="F349" s="114" t="s">
        <v>3082</v>
      </c>
      <c r="G349" s="114" t="s">
        <v>3083</v>
      </c>
      <c r="H349" s="114" t="s">
        <v>2286</v>
      </c>
      <c r="I349" s="114" t="s">
        <v>126</v>
      </c>
      <c r="J349" s="114" t="s">
        <v>405</v>
      </c>
      <c r="K349" s="114">
        <v>123456.0</v>
      </c>
      <c r="L349" s="114">
        <v>9.779896584E9</v>
      </c>
      <c r="M349" s="114">
        <v>9.888183203E9</v>
      </c>
      <c r="N349" s="114">
        <v>7.837027986E9</v>
      </c>
      <c r="O349" s="115">
        <v>38525.0</v>
      </c>
      <c r="P349" s="114" t="s">
        <v>3084</v>
      </c>
      <c r="Q349" s="114" t="s">
        <v>3085</v>
      </c>
      <c r="R349" s="114" t="s">
        <v>135</v>
      </c>
      <c r="S349" s="114" t="s">
        <v>136</v>
      </c>
      <c r="T349" s="114">
        <v>143001.0</v>
      </c>
      <c r="U349" s="114" t="s">
        <v>1598</v>
      </c>
      <c r="V349" s="114" t="s">
        <v>156</v>
      </c>
      <c r="W349" s="126" t="s">
        <v>141</v>
      </c>
      <c r="X349" s="114" t="s">
        <v>143</v>
      </c>
      <c r="Y349" s="114" t="s">
        <v>2642</v>
      </c>
      <c r="Z349" s="114" t="s">
        <v>80</v>
      </c>
      <c r="AA349" s="116"/>
      <c r="AB349" s="123"/>
      <c r="AC349" s="123"/>
      <c r="AD349" s="124"/>
      <c r="AE349" s="124"/>
      <c r="AF349" s="119">
        <v>8.07145730521E11</v>
      </c>
      <c r="AG349" s="109"/>
      <c r="AH349" s="109"/>
    </row>
    <row r="350">
      <c r="A350" s="15">
        <v>358.0</v>
      </c>
      <c r="B350" s="47" t="s">
        <v>265</v>
      </c>
      <c r="C350" s="17" t="s">
        <v>116</v>
      </c>
      <c r="D350" s="121">
        <v>2.024010091592E12</v>
      </c>
      <c r="E350" s="121">
        <v>1.2242524712E10</v>
      </c>
      <c r="F350" s="114" t="s">
        <v>3086</v>
      </c>
      <c r="G350" s="114" t="s">
        <v>440</v>
      </c>
      <c r="H350" s="114" t="s">
        <v>3087</v>
      </c>
      <c r="I350" s="114" t="s">
        <v>126</v>
      </c>
      <c r="J350" s="114" t="s">
        <v>443</v>
      </c>
      <c r="K350" s="114">
        <v>123456.0</v>
      </c>
      <c r="L350" s="114">
        <v>7.696815542E9</v>
      </c>
      <c r="M350" s="114">
        <v>7.087767374E9</v>
      </c>
      <c r="N350" s="114">
        <v>9.115656859E9</v>
      </c>
      <c r="O350" s="115">
        <v>38411.0</v>
      </c>
      <c r="P350" s="114" t="s">
        <v>3088</v>
      </c>
      <c r="Q350" s="114" t="s">
        <v>3089</v>
      </c>
      <c r="R350" s="114" t="s">
        <v>135</v>
      </c>
      <c r="S350" s="114" t="s">
        <v>136</v>
      </c>
      <c r="T350" s="114">
        <v>143101.0</v>
      </c>
      <c r="U350" s="114" t="s">
        <v>2064</v>
      </c>
      <c r="V350" s="114" t="s">
        <v>156</v>
      </c>
      <c r="W350" s="126" t="s">
        <v>141</v>
      </c>
      <c r="X350" s="114" t="s">
        <v>143</v>
      </c>
      <c r="Y350" s="114" t="s">
        <v>992</v>
      </c>
      <c r="Z350" s="122"/>
      <c r="AA350" s="126" t="s">
        <v>3090</v>
      </c>
      <c r="AB350" s="123"/>
      <c r="AC350" s="123"/>
      <c r="AD350" s="124"/>
      <c r="AE350" s="124"/>
      <c r="AF350" s="125">
        <v>7.7265969452E11</v>
      </c>
      <c r="AG350" s="109"/>
      <c r="AH350" s="109"/>
    </row>
    <row r="351">
      <c r="A351" s="15">
        <v>359.0</v>
      </c>
      <c r="B351" s="47" t="s">
        <v>265</v>
      </c>
      <c r="C351" s="17" t="s">
        <v>116</v>
      </c>
      <c r="D351" s="113">
        <v>2.024010116957E12</v>
      </c>
      <c r="E351" s="113">
        <v>1.2242524713E10</v>
      </c>
      <c r="F351" s="114" t="s">
        <v>3091</v>
      </c>
      <c r="G351" s="114" t="s">
        <v>3092</v>
      </c>
      <c r="H351" s="114" t="s">
        <v>604</v>
      </c>
      <c r="I351" s="114" t="s">
        <v>126</v>
      </c>
      <c r="J351" s="114" t="s">
        <v>3093</v>
      </c>
      <c r="K351" s="114">
        <v>123456.0</v>
      </c>
      <c r="L351" s="114">
        <v>8.699309466E9</v>
      </c>
      <c r="M351" s="114">
        <v>8.557928125E9</v>
      </c>
      <c r="N351" s="114">
        <v>8.198814598E9</v>
      </c>
      <c r="O351" s="115">
        <v>38704.0</v>
      </c>
      <c r="P351" s="114" t="s">
        <v>3094</v>
      </c>
      <c r="Q351" s="114" t="s">
        <v>3095</v>
      </c>
      <c r="R351" s="114" t="s">
        <v>609</v>
      </c>
      <c r="S351" s="114" t="s">
        <v>136</v>
      </c>
      <c r="T351" s="114">
        <v>143520.0</v>
      </c>
      <c r="U351" s="114" t="s">
        <v>991</v>
      </c>
      <c r="V351" s="114" t="s">
        <v>156</v>
      </c>
      <c r="W351" s="126" t="s">
        <v>141</v>
      </c>
      <c r="X351" s="114" t="s">
        <v>143</v>
      </c>
      <c r="Y351" s="114" t="s">
        <v>2642</v>
      </c>
      <c r="Z351" s="114" t="s">
        <v>80</v>
      </c>
      <c r="AA351" s="126" t="s">
        <v>3090</v>
      </c>
      <c r="AB351" s="123"/>
      <c r="AC351" s="123"/>
      <c r="AD351" s="124"/>
      <c r="AE351" s="124"/>
      <c r="AF351" s="119">
        <v>9.54971727515E11</v>
      </c>
      <c r="AG351" s="109"/>
      <c r="AH351" s="109"/>
    </row>
    <row r="352">
      <c r="A352" s="15">
        <v>360.0</v>
      </c>
      <c r="B352" s="47" t="s">
        <v>265</v>
      </c>
      <c r="C352" s="17" t="s">
        <v>116</v>
      </c>
      <c r="D352" s="121">
        <v>2.024010149011E12</v>
      </c>
      <c r="E352" s="121">
        <v>1.2242524714E10</v>
      </c>
      <c r="F352" s="114" t="s">
        <v>3096</v>
      </c>
      <c r="G352" s="114" t="s">
        <v>3097</v>
      </c>
      <c r="H352" s="114" t="s">
        <v>3098</v>
      </c>
      <c r="I352" s="114" t="s">
        <v>126</v>
      </c>
      <c r="J352" s="114" t="s">
        <v>479</v>
      </c>
      <c r="K352" s="114">
        <v>123456.0</v>
      </c>
      <c r="L352" s="114">
        <v>6.239904165E9</v>
      </c>
      <c r="M352" s="114">
        <v>9.988082605E9</v>
      </c>
      <c r="N352" s="114">
        <v>9.780477176E9</v>
      </c>
      <c r="O352" s="115">
        <v>39382.0</v>
      </c>
      <c r="P352" s="114" t="s">
        <v>3099</v>
      </c>
      <c r="Q352" s="114" t="s">
        <v>3100</v>
      </c>
      <c r="R352" s="114" t="s">
        <v>135</v>
      </c>
      <c r="S352" s="114" t="s">
        <v>136</v>
      </c>
      <c r="T352" s="114">
        <v>143502.0</v>
      </c>
      <c r="U352" s="114" t="s">
        <v>3101</v>
      </c>
      <c r="V352" s="114" t="s">
        <v>156</v>
      </c>
      <c r="W352" s="126" t="s">
        <v>141</v>
      </c>
      <c r="X352" s="114" t="s">
        <v>208</v>
      </c>
      <c r="Y352" s="114" t="s">
        <v>992</v>
      </c>
      <c r="Z352" s="114" t="s">
        <v>80</v>
      </c>
      <c r="AA352" s="116"/>
      <c r="AB352" s="123"/>
      <c r="AC352" s="123"/>
      <c r="AD352" s="124"/>
      <c r="AE352" s="124"/>
      <c r="AF352" s="125">
        <v>2.43734501569E11</v>
      </c>
      <c r="AG352" s="109"/>
      <c r="AH352" s="109"/>
    </row>
    <row r="353">
      <c r="A353" s="15">
        <v>361.0</v>
      </c>
      <c r="B353" s="47" t="s">
        <v>265</v>
      </c>
      <c r="C353" s="17" t="s">
        <v>116</v>
      </c>
      <c r="D353" s="113">
        <v>2.024010149059E12</v>
      </c>
      <c r="E353" s="113">
        <v>1.2242524715E10</v>
      </c>
      <c r="F353" s="114" t="s">
        <v>488</v>
      </c>
      <c r="G353" s="114" t="s">
        <v>489</v>
      </c>
      <c r="H353" s="114" t="s">
        <v>1829</v>
      </c>
      <c r="I353" s="114" t="s">
        <v>126</v>
      </c>
      <c r="J353" s="114" t="s">
        <v>3102</v>
      </c>
      <c r="K353" s="114">
        <v>123456.0</v>
      </c>
      <c r="L353" s="114">
        <v>8.437815761E9</v>
      </c>
      <c r="M353" s="114">
        <v>9.876098626E9</v>
      </c>
      <c r="N353" s="114">
        <v>8.699594402E9</v>
      </c>
      <c r="O353" s="115">
        <v>39609.0</v>
      </c>
      <c r="P353" s="114" t="s">
        <v>3103</v>
      </c>
      <c r="Q353" s="114" t="s">
        <v>3104</v>
      </c>
      <c r="R353" s="114" t="s">
        <v>3105</v>
      </c>
      <c r="S353" s="114" t="s">
        <v>136</v>
      </c>
      <c r="T353" s="114">
        <v>147301.0</v>
      </c>
      <c r="U353" s="114" t="s">
        <v>1598</v>
      </c>
      <c r="V353" s="114" t="s">
        <v>156</v>
      </c>
      <c r="W353" s="126" t="s">
        <v>141</v>
      </c>
      <c r="X353" s="114" t="s">
        <v>3106</v>
      </c>
      <c r="Y353" s="114" t="s">
        <v>992</v>
      </c>
      <c r="Z353" s="114" t="s">
        <v>80</v>
      </c>
      <c r="AA353" s="116"/>
      <c r="AB353" s="123"/>
      <c r="AC353" s="123"/>
      <c r="AD353" s="124"/>
      <c r="AE353" s="124"/>
      <c r="AF353" s="119">
        <v>3.38037351777E11</v>
      </c>
      <c r="AG353" s="109"/>
      <c r="AH353" s="109"/>
    </row>
    <row r="354">
      <c r="A354" s="15">
        <v>362.0</v>
      </c>
      <c r="B354" s="47" t="s">
        <v>265</v>
      </c>
      <c r="C354" s="17" t="s">
        <v>116</v>
      </c>
      <c r="D354" s="121">
        <v>2.025010000502E12</v>
      </c>
      <c r="E354" s="121">
        <v>1.2242524716E10</v>
      </c>
      <c r="F354" s="114" t="s">
        <v>3107</v>
      </c>
      <c r="G354" s="114" t="s">
        <v>3108</v>
      </c>
      <c r="H354" s="114" t="s">
        <v>512</v>
      </c>
      <c r="I354" s="114" t="s">
        <v>126</v>
      </c>
      <c r="J354" s="114" t="s">
        <v>513</v>
      </c>
      <c r="K354" s="114">
        <v>123456.0</v>
      </c>
      <c r="L354" s="114">
        <v>8.283992869E9</v>
      </c>
      <c r="M354" s="114">
        <v>8.264383898E9</v>
      </c>
      <c r="N354" s="114">
        <v>9.463903299E9</v>
      </c>
      <c r="O354" s="115">
        <v>38914.0</v>
      </c>
      <c r="P354" s="114" t="s">
        <v>3109</v>
      </c>
      <c r="Q354" s="114" t="s">
        <v>3110</v>
      </c>
      <c r="R354" s="114" t="s">
        <v>595</v>
      </c>
      <c r="S354" s="114" t="s">
        <v>136</v>
      </c>
      <c r="T354" s="114">
        <v>152023.0</v>
      </c>
      <c r="U354" s="114" t="s">
        <v>991</v>
      </c>
      <c r="V354" s="114" t="s">
        <v>156</v>
      </c>
      <c r="W354" s="126" t="s">
        <v>141</v>
      </c>
      <c r="X354" s="114" t="s">
        <v>143</v>
      </c>
      <c r="Y354" s="114" t="s">
        <v>992</v>
      </c>
      <c r="Z354" s="114" t="s">
        <v>80</v>
      </c>
      <c r="AA354" s="116"/>
      <c r="AB354" s="123"/>
      <c r="AC354" s="123"/>
      <c r="AD354" s="124"/>
      <c r="AE354" s="124"/>
      <c r="AF354" s="125">
        <v>6.22875357405E11</v>
      </c>
      <c r="AG354" s="109"/>
      <c r="AH354" s="109"/>
    </row>
    <row r="355">
      <c r="A355" s="15">
        <v>363.0</v>
      </c>
      <c r="B355" s="47" t="s">
        <v>265</v>
      </c>
      <c r="C355" s="17" t="s">
        <v>116</v>
      </c>
      <c r="D355" s="113">
        <v>2.025010000736E12</v>
      </c>
      <c r="E355" s="113">
        <v>1.2242524717E10</v>
      </c>
      <c r="F355" s="114" t="s">
        <v>3111</v>
      </c>
      <c r="G355" s="114" t="s">
        <v>3112</v>
      </c>
      <c r="H355" s="114" t="s">
        <v>3113</v>
      </c>
      <c r="I355" s="114" t="s">
        <v>164</v>
      </c>
      <c r="J355" s="114" t="s">
        <v>527</v>
      </c>
      <c r="K355" s="114">
        <v>123456.0</v>
      </c>
      <c r="L355" s="114">
        <v>8.968662514E9</v>
      </c>
      <c r="M355" s="114">
        <v>9.914323161E9</v>
      </c>
      <c r="N355" s="114">
        <v>7.087824779E9</v>
      </c>
      <c r="O355" s="115">
        <v>39020.0</v>
      </c>
      <c r="P355" s="114" t="s">
        <v>3114</v>
      </c>
      <c r="Q355" s="114" t="s">
        <v>3115</v>
      </c>
      <c r="R355" s="114" t="s">
        <v>716</v>
      </c>
      <c r="S355" s="114" t="s">
        <v>136</v>
      </c>
      <c r="T355" s="114">
        <v>143401.0</v>
      </c>
      <c r="U355" s="114" t="s">
        <v>2064</v>
      </c>
      <c r="V355" s="114" t="s">
        <v>3116</v>
      </c>
      <c r="W355" s="126" t="s">
        <v>141</v>
      </c>
      <c r="X355" s="114" t="s">
        <v>143</v>
      </c>
      <c r="Y355" s="114" t="s">
        <v>992</v>
      </c>
      <c r="Z355" s="122"/>
      <c r="AA355" s="116"/>
      <c r="AB355" s="123"/>
      <c r="AC355" s="123"/>
      <c r="AD355" s="124"/>
      <c r="AE355" s="124"/>
      <c r="AF355" s="119">
        <v>7.39029025689E11</v>
      </c>
      <c r="AG355" s="109"/>
      <c r="AH355" s="109"/>
    </row>
    <row r="356">
      <c r="A356" s="15">
        <v>364.0</v>
      </c>
      <c r="B356" s="47" t="s">
        <v>265</v>
      </c>
      <c r="C356" s="17" t="s">
        <v>116</v>
      </c>
      <c r="D356" s="121">
        <v>2.02501000078E12</v>
      </c>
      <c r="E356" s="121">
        <v>1.2242524718E10</v>
      </c>
      <c r="F356" s="114" t="s">
        <v>3117</v>
      </c>
      <c r="G356" s="114" t="s">
        <v>3118</v>
      </c>
      <c r="H356" s="114" t="s">
        <v>3119</v>
      </c>
      <c r="I356" s="114" t="s">
        <v>126</v>
      </c>
      <c r="J356" s="114" t="s">
        <v>539</v>
      </c>
      <c r="K356" s="114">
        <v>123456.0</v>
      </c>
      <c r="L356" s="114">
        <v>9.464763091E9</v>
      </c>
      <c r="M356" s="114">
        <v>9.310500095E9</v>
      </c>
      <c r="N356" s="114">
        <v>9.151315115E9</v>
      </c>
      <c r="O356" s="115">
        <v>39014.0</v>
      </c>
      <c r="P356" s="114" t="s">
        <v>3120</v>
      </c>
      <c r="Q356" s="114" t="s">
        <v>3121</v>
      </c>
      <c r="R356" s="114" t="s">
        <v>135</v>
      </c>
      <c r="S356" s="114" t="s">
        <v>136</v>
      </c>
      <c r="T356" s="114">
        <v>143115.0</v>
      </c>
      <c r="U356" s="114" t="s">
        <v>2064</v>
      </c>
      <c r="V356" s="114" t="s">
        <v>156</v>
      </c>
      <c r="W356" s="126" t="s">
        <v>141</v>
      </c>
      <c r="X356" s="114" t="s">
        <v>3122</v>
      </c>
      <c r="Y356" s="114" t="s">
        <v>992</v>
      </c>
      <c r="Z356" s="122"/>
      <c r="AA356" s="116"/>
      <c r="AB356" s="123"/>
      <c r="AC356" s="123"/>
      <c r="AD356" s="124"/>
      <c r="AE356" s="124"/>
      <c r="AF356" s="125">
        <v>8.13453872691E11</v>
      </c>
      <c r="AG356" s="109"/>
      <c r="AH356" s="109"/>
    </row>
    <row r="357">
      <c r="A357" s="15">
        <v>365.0</v>
      </c>
      <c r="B357" s="47" t="s">
        <v>265</v>
      </c>
      <c r="C357" s="17" t="s">
        <v>116</v>
      </c>
      <c r="D357" s="113">
        <v>2.025010000888E12</v>
      </c>
      <c r="E357" s="113">
        <v>1.2242524719E10</v>
      </c>
      <c r="F357" s="114" t="s">
        <v>3123</v>
      </c>
      <c r="G357" s="114" t="s">
        <v>3124</v>
      </c>
      <c r="H357" s="114" t="s">
        <v>1953</v>
      </c>
      <c r="I357" s="114" t="s">
        <v>164</v>
      </c>
      <c r="J357" s="114" t="s">
        <v>550</v>
      </c>
      <c r="K357" s="114">
        <v>123456.0</v>
      </c>
      <c r="L357" s="114">
        <v>6.280774505E9</v>
      </c>
      <c r="M357" s="114">
        <v>9.46549473E9</v>
      </c>
      <c r="N357" s="114">
        <v>6.280774505E9</v>
      </c>
      <c r="O357" s="115">
        <v>39483.0</v>
      </c>
      <c r="P357" s="114" t="s">
        <v>3125</v>
      </c>
      <c r="Q357" s="114" t="s">
        <v>3126</v>
      </c>
      <c r="R357" s="114" t="s">
        <v>3127</v>
      </c>
      <c r="S357" s="114" t="s">
        <v>136</v>
      </c>
      <c r="T357" s="114">
        <v>143416.0</v>
      </c>
      <c r="U357" s="114" t="s">
        <v>2064</v>
      </c>
      <c r="V357" s="114" t="s">
        <v>66</v>
      </c>
      <c r="W357" s="126" t="s">
        <v>141</v>
      </c>
      <c r="X357" s="114" t="s">
        <v>143</v>
      </c>
      <c r="Y357" s="114" t="s">
        <v>992</v>
      </c>
      <c r="Z357" s="122"/>
      <c r="AA357" s="116"/>
      <c r="AB357" s="123"/>
      <c r="AC357" s="123"/>
      <c r="AD357" s="124"/>
      <c r="AE357" s="124"/>
      <c r="AF357" s="119">
        <v>4.76687727967E11</v>
      </c>
      <c r="AG357" s="109"/>
      <c r="AH357" s="109"/>
    </row>
    <row r="358">
      <c r="A358" s="15">
        <v>366.0</v>
      </c>
      <c r="B358" s="47" t="s">
        <v>265</v>
      </c>
      <c r="C358" s="17" t="s">
        <v>116</v>
      </c>
      <c r="D358" s="121">
        <v>2.025010000951E12</v>
      </c>
      <c r="E358" s="121">
        <v>1.224252472E10</v>
      </c>
      <c r="F358" s="114" t="s">
        <v>3128</v>
      </c>
      <c r="G358" s="114" t="s">
        <v>3129</v>
      </c>
      <c r="H358" s="114" t="s">
        <v>360</v>
      </c>
      <c r="I358" s="114" t="s">
        <v>126</v>
      </c>
      <c r="J358" s="114" t="s">
        <v>561</v>
      </c>
      <c r="K358" s="114">
        <v>123456.0</v>
      </c>
      <c r="L358" s="114">
        <v>7.814175661E9</v>
      </c>
      <c r="M358" s="114">
        <v>8.19883362E9</v>
      </c>
      <c r="N358" s="114">
        <v>7.973765887E9</v>
      </c>
      <c r="O358" s="115">
        <v>39668.0</v>
      </c>
      <c r="P358" s="114" t="s">
        <v>3130</v>
      </c>
      <c r="Q358" s="114" t="s">
        <v>3131</v>
      </c>
      <c r="R358" s="114" t="s">
        <v>3132</v>
      </c>
      <c r="S358" s="114" t="s">
        <v>136</v>
      </c>
      <c r="T358" s="114">
        <v>144204.0</v>
      </c>
      <c r="U358" s="114" t="s">
        <v>1598</v>
      </c>
      <c r="V358" s="114" t="s">
        <v>156</v>
      </c>
      <c r="W358" s="126" t="s">
        <v>141</v>
      </c>
      <c r="X358" s="114" t="s">
        <v>2129</v>
      </c>
      <c r="Y358" s="114" t="s">
        <v>992</v>
      </c>
      <c r="Z358" s="122"/>
      <c r="AA358" s="116"/>
      <c r="AB358" s="123"/>
      <c r="AC358" s="123"/>
      <c r="AD358" s="124"/>
      <c r="AE358" s="124"/>
      <c r="AF358" s="125">
        <v>8.81425227843E11</v>
      </c>
      <c r="AG358" s="109"/>
      <c r="AH358" s="109"/>
    </row>
    <row r="359">
      <c r="A359" s="15">
        <v>367.0</v>
      </c>
      <c r="B359" s="47" t="s">
        <v>265</v>
      </c>
      <c r="C359" s="17" t="s">
        <v>116</v>
      </c>
      <c r="D359" s="113">
        <v>2.025010003004E12</v>
      </c>
      <c r="E359" s="113">
        <v>1.2242524721E10</v>
      </c>
      <c r="F359" s="114" t="s">
        <v>3133</v>
      </c>
      <c r="G359" s="114" t="s">
        <v>3134</v>
      </c>
      <c r="H359" s="114" t="s">
        <v>3135</v>
      </c>
      <c r="I359" s="114" t="s">
        <v>126</v>
      </c>
      <c r="J359" s="114" t="s">
        <v>574</v>
      </c>
      <c r="K359" s="114">
        <v>123456.0</v>
      </c>
      <c r="L359" s="114">
        <v>7.657987212E9</v>
      </c>
      <c r="M359" s="114">
        <v>9.87266098E9</v>
      </c>
      <c r="N359" s="114">
        <v>9.501727212E9</v>
      </c>
      <c r="O359" s="115">
        <v>39435.0</v>
      </c>
      <c r="P359" s="114" t="s">
        <v>3136</v>
      </c>
      <c r="Q359" s="114" t="s">
        <v>3137</v>
      </c>
      <c r="R359" s="114" t="s">
        <v>135</v>
      </c>
      <c r="S359" s="114" t="s">
        <v>136</v>
      </c>
      <c r="T359" s="114">
        <v>143001.0</v>
      </c>
      <c r="U359" s="114" t="s">
        <v>2064</v>
      </c>
      <c r="V359" s="114" t="s">
        <v>3138</v>
      </c>
      <c r="W359" s="126" t="s">
        <v>141</v>
      </c>
      <c r="X359" s="114" t="s">
        <v>208</v>
      </c>
      <c r="Y359" s="114" t="s">
        <v>992</v>
      </c>
      <c r="Z359" s="114"/>
      <c r="AA359" s="126" t="s">
        <v>3059</v>
      </c>
      <c r="AB359" s="123"/>
      <c r="AC359" s="123"/>
      <c r="AD359" s="124"/>
      <c r="AE359" s="124"/>
      <c r="AF359" s="119">
        <v>8.90318045507E11</v>
      </c>
      <c r="AG359" s="109"/>
      <c r="AH359" s="109"/>
    </row>
    <row r="360">
      <c r="A360" s="15">
        <v>368.0</v>
      </c>
      <c r="B360" s="47" t="s">
        <v>265</v>
      </c>
      <c r="C360" s="17" t="s">
        <v>116</v>
      </c>
      <c r="D360" s="121">
        <v>2.025010003283E12</v>
      </c>
      <c r="E360" s="121">
        <v>1.2242524722E10</v>
      </c>
      <c r="F360" s="114" t="s">
        <v>3139</v>
      </c>
      <c r="G360" s="114" t="s">
        <v>3140</v>
      </c>
      <c r="H360" s="114" t="s">
        <v>586</v>
      </c>
      <c r="I360" s="114" t="s">
        <v>164</v>
      </c>
      <c r="J360" s="114" t="s">
        <v>587</v>
      </c>
      <c r="K360" s="114">
        <v>123456.0</v>
      </c>
      <c r="L360" s="114">
        <v>7.719502472E9</v>
      </c>
      <c r="M360" s="114">
        <v>9.81481916E9</v>
      </c>
      <c r="N360" s="114">
        <v>7.009956395E9</v>
      </c>
      <c r="O360" s="115">
        <v>38963.0</v>
      </c>
      <c r="P360" s="114" t="s">
        <v>3141</v>
      </c>
      <c r="Q360" s="114" t="s">
        <v>3142</v>
      </c>
      <c r="R360" s="114" t="s">
        <v>135</v>
      </c>
      <c r="S360" s="114" t="s">
        <v>136</v>
      </c>
      <c r="T360" s="114">
        <v>143001.0</v>
      </c>
      <c r="U360" s="114" t="s">
        <v>321</v>
      </c>
      <c r="V360" s="114" t="s">
        <v>66</v>
      </c>
      <c r="W360" s="126" t="s">
        <v>141</v>
      </c>
      <c r="X360" s="114" t="s">
        <v>506</v>
      </c>
      <c r="Y360" s="114" t="s">
        <v>992</v>
      </c>
      <c r="Z360" s="122"/>
      <c r="AA360" s="116"/>
      <c r="AB360" s="123"/>
      <c r="AC360" s="123"/>
      <c r="AD360" s="124"/>
      <c r="AE360" s="124"/>
      <c r="AF360" s="125">
        <v>4.42919695096E11</v>
      </c>
      <c r="AG360" s="109"/>
      <c r="AH360" s="109"/>
    </row>
    <row r="361">
      <c r="A361" s="15">
        <v>369.0</v>
      </c>
      <c r="B361" s="47" t="s">
        <v>265</v>
      </c>
      <c r="C361" s="17" t="s">
        <v>116</v>
      </c>
      <c r="D361" s="113">
        <v>2.02501000403E12</v>
      </c>
      <c r="E361" s="113">
        <v>1.2242524723E10</v>
      </c>
      <c r="F361" s="114" t="s">
        <v>3143</v>
      </c>
      <c r="G361" s="114" t="s">
        <v>3144</v>
      </c>
      <c r="H361" s="114" t="s">
        <v>598</v>
      </c>
      <c r="I361" s="114" t="s">
        <v>126</v>
      </c>
      <c r="J361" s="114" t="s">
        <v>599</v>
      </c>
      <c r="K361" s="114">
        <v>123456.0</v>
      </c>
      <c r="L361" s="114">
        <v>9.478545489E9</v>
      </c>
      <c r="M361" s="114">
        <v>9.855223844E9</v>
      </c>
      <c r="N361" s="114">
        <v>9.464433315E9</v>
      </c>
      <c r="O361" s="115">
        <v>39010.0</v>
      </c>
      <c r="P361" s="114" t="s">
        <v>3145</v>
      </c>
      <c r="Q361" s="114" t="s">
        <v>3146</v>
      </c>
      <c r="R361" s="114" t="s">
        <v>135</v>
      </c>
      <c r="S361" s="114" t="s">
        <v>136</v>
      </c>
      <c r="T361" s="114">
        <v>143001.0</v>
      </c>
      <c r="U361" s="114" t="s">
        <v>2064</v>
      </c>
      <c r="V361" s="114" t="s">
        <v>156</v>
      </c>
      <c r="W361" s="126" t="s">
        <v>141</v>
      </c>
      <c r="X361" s="114" t="s">
        <v>257</v>
      </c>
      <c r="Y361" s="114" t="s">
        <v>2642</v>
      </c>
      <c r="Z361" s="122"/>
      <c r="AA361" s="116"/>
      <c r="AB361" s="123"/>
      <c r="AC361" s="123"/>
      <c r="AD361" s="124"/>
      <c r="AE361" s="124"/>
      <c r="AF361" s="119" t="s">
        <v>3147</v>
      </c>
      <c r="AG361" s="109"/>
      <c r="AH361" s="109"/>
    </row>
    <row r="362">
      <c r="A362" s="15">
        <v>370.0</v>
      </c>
      <c r="B362" s="47" t="s">
        <v>265</v>
      </c>
      <c r="C362" s="17" t="s">
        <v>116</v>
      </c>
      <c r="D362" s="121">
        <v>2.025010004097E12</v>
      </c>
      <c r="E362" s="121">
        <v>1.2242524724E10</v>
      </c>
      <c r="F362" s="114" t="s">
        <v>3148</v>
      </c>
      <c r="G362" s="114" t="s">
        <v>3149</v>
      </c>
      <c r="H362" s="114" t="s">
        <v>3150</v>
      </c>
      <c r="I362" s="114" t="s">
        <v>126</v>
      </c>
      <c r="J362" s="114" t="s">
        <v>613</v>
      </c>
      <c r="K362" s="114">
        <v>123456.0</v>
      </c>
      <c r="L362" s="114">
        <v>8.437464665E9</v>
      </c>
      <c r="M362" s="114">
        <v>9.855164656E9</v>
      </c>
      <c r="N362" s="114">
        <v>8.194954554E9</v>
      </c>
      <c r="O362" s="115">
        <v>39085.0</v>
      </c>
      <c r="P362" s="114" t="s">
        <v>3151</v>
      </c>
      <c r="Q362" s="114" t="s">
        <v>3152</v>
      </c>
      <c r="R362" s="114" t="s">
        <v>135</v>
      </c>
      <c r="S362" s="114" t="s">
        <v>136</v>
      </c>
      <c r="T362" s="114">
        <v>143106.0</v>
      </c>
      <c r="U362" s="114" t="s">
        <v>3069</v>
      </c>
      <c r="V362" s="114" t="s">
        <v>156</v>
      </c>
      <c r="W362" s="126" t="s">
        <v>141</v>
      </c>
      <c r="X362" s="114" t="s">
        <v>3153</v>
      </c>
      <c r="Y362" s="114" t="s">
        <v>992</v>
      </c>
      <c r="Z362" s="122"/>
      <c r="AA362" s="116"/>
      <c r="AB362" s="123"/>
      <c r="AC362" s="123"/>
      <c r="AD362" s="124"/>
      <c r="AE362" s="124"/>
      <c r="AF362" s="125">
        <v>9.0935887762E11</v>
      </c>
      <c r="AG362" s="109"/>
      <c r="AH362" s="109"/>
    </row>
    <row r="363">
      <c r="A363" s="15">
        <v>371.0</v>
      </c>
      <c r="B363" s="47" t="s">
        <v>265</v>
      </c>
      <c r="C363" s="17" t="s">
        <v>116</v>
      </c>
      <c r="D363" s="113">
        <v>2.025010004189E12</v>
      </c>
      <c r="E363" s="113">
        <v>1.2242524725E10</v>
      </c>
      <c r="F363" s="114" t="s">
        <v>3154</v>
      </c>
      <c r="G363" s="114" t="s">
        <v>3072</v>
      </c>
      <c r="H363" s="114" t="s">
        <v>623</v>
      </c>
      <c r="I363" s="114" t="s">
        <v>126</v>
      </c>
      <c r="J363" s="114" t="s">
        <v>624</v>
      </c>
      <c r="K363" s="114">
        <v>123456.0</v>
      </c>
      <c r="L363" s="114">
        <v>9.781167572E9</v>
      </c>
      <c r="M363" s="114">
        <v>9.85503271E9</v>
      </c>
      <c r="N363" s="114">
        <v>9.988346572E9</v>
      </c>
      <c r="O363" s="115">
        <v>39496.0</v>
      </c>
      <c r="P363" s="114" t="s">
        <v>3155</v>
      </c>
      <c r="Q363" s="114" t="s">
        <v>3156</v>
      </c>
      <c r="R363" s="114" t="s">
        <v>135</v>
      </c>
      <c r="S363" s="114" t="s">
        <v>136</v>
      </c>
      <c r="T363" s="114">
        <v>143149.0</v>
      </c>
      <c r="U363" s="114" t="s">
        <v>321</v>
      </c>
      <c r="V363" s="114" t="s">
        <v>156</v>
      </c>
      <c r="W363" s="126" t="s">
        <v>141</v>
      </c>
      <c r="X363" s="114" t="s">
        <v>793</v>
      </c>
      <c r="Y363" s="114" t="s">
        <v>992</v>
      </c>
      <c r="Z363" s="122"/>
      <c r="AA363" s="116"/>
      <c r="AB363" s="123"/>
      <c r="AC363" s="123"/>
      <c r="AD363" s="124"/>
      <c r="AE363" s="124"/>
      <c r="AF363" s="119">
        <v>3.83574630559E11</v>
      </c>
      <c r="AG363" s="109"/>
      <c r="AH363" s="109"/>
    </row>
    <row r="364">
      <c r="A364" s="15">
        <v>372.0</v>
      </c>
      <c r="B364" s="47" t="s">
        <v>265</v>
      </c>
      <c r="C364" s="17" t="s">
        <v>116</v>
      </c>
      <c r="D364" s="121">
        <v>2.025010005556E12</v>
      </c>
      <c r="E364" s="121">
        <v>1.2242524726E10</v>
      </c>
      <c r="F364" s="114" t="s">
        <v>3157</v>
      </c>
      <c r="G364" s="114" t="s">
        <v>3158</v>
      </c>
      <c r="H364" s="114" t="s">
        <v>635</v>
      </c>
      <c r="I364" s="114" t="s">
        <v>126</v>
      </c>
      <c r="J364" s="114" t="s">
        <v>636</v>
      </c>
      <c r="K364" s="114">
        <v>123456.0</v>
      </c>
      <c r="L364" s="114">
        <v>9.592322983E9</v>
      </c>
      <c r="M364" s="114">
        <v>9.463726773E9</v>
      </c>
      <c r="N364" s="114">
        <v>6.239115804E9</v>
      </c>
      <c r="O364" s="115">
        <v>39057.0</v>
      </c>
      <c r="P364" s="114" t="s">
        <v>3159</v>
      </c>
      <c r="Q364" s="114" t="s">
        <v>3160</v>
      </c>
      <c r="R364" s="114" t="s">
        <v>135</v>
      </c>
      <c r="S364" s="114" t="s">
        <v>136</v>
      </c>
      <c r="T364" s="114">
        <v>143001.0</v>
      </c>
      <c r="U364" s="114" t="s">
        <v>2064</v>
      </c>
      <c r="V364" s="114" t="s">
        <v>156</v>
      </c>
      <c r="W364" s="126" t="s">
        <v>141</v>
      </c>
      <c r="X364" s="114" t="s">
        <v>2129</v>
      </c>
      <c r="Y364" s="114" t="s">
        <v>2780</v>
      </c>
      <c r="Z364" s="122"/>
      <c r="AA364" s="116"/>
      <c r="AB364" s="123"/>
      <c r="AC364" s="123"/>
      <c r="AD364" s="124"/>
      <c r="AE364" s="124"/>
      <c r="AF364" s="125">
        <v>5.39799745597E11</v>
      </c>
      <c r="AG364" s="109"/>
      <c r="AH364" s="109"/>
    </row>
    <row r="365">
      <c r="A365" s="15">
        <v>373.0</v>
      </c>
      <c r="B365" s="47" t="s">
        <v>265</v>
      </c>
      <c r="C365" s="17" t="s">
        <v>116</v>
      </c>
      <c r="D365" s="113">
        <v>2.02501006515E11</v>
      </c>
      <c r="E365" s="113">
        <v>1.2242524727E10</v>
      </c>
      <c r="F365" s="114" t="s">
        <v>3161</v>
      </c>
      <c r="G365" s="114" t="s">
        <v>3162</v>
      </c>
      <c r="H365" s="114" t="s">
        <v>598</v>
      </c>
      <c r="I365" s="114" t="s">
        <v>126</v>
      </c>
      <c r="J365" s="114" t="s">
        <v>649</v>
      </c>
      <c r="K365" s="114">
        <v>123456.0</v>
      </c>
      <c r="L365" s="114">
        <v>7.009362363E9</v>
      </c>
      <c r="M365" s="114">
        <v>9.780032321E9</v>
      </c>
      <c r="N365" s="114">
        <v>8.054946454E9</v>
      </c>
      <c r="O365" s="115">
        <v>39032.0</v>
      </c>
      <c r="P365" s="114" t="s">
        <v>3163</v>
      </c>
      <c r="Q365" s="114" t="s">
        <v>3164</v>
      </c>
      <c r="R365" s="114" t="s">
        <v>135</v>
      </c>
      <c r="S365" s="114" t="s">
        <v>136</v>
      </c>
      <c r="T365" s="114">
        <v>143105.0</v>
      </c>
      <c r="U365" s="114" t="s">
        <v>2064</v>
      </c>
      <c r="V365" s="114" t="s">
        <v>156</v>
      </c>
      <c r="W365" s="126" t="s">
        <v>141</v>
      </c>
      <c r="X365" s="114" t="s">
        <v>159</v>
      </c>
      <c r="Y365" s="114" t="s">
        <v>2642</v>
      </c>
      <c r="Z365" s="122"/>
      <c r="AA365" s="116"/>
      <c r="AB365" s="123"/>
      <c r="AC365" s="123"/>
      <c r="AD365" s="124"/>
      <c r="AE365" s="124"/>
      <c r="AF365" s="119">
        <v>4.15884822145E11</v>
      </c>
      <c r="AG365" s="109"/>
      <c r="AH365" s="109"/>
    </row>
    <row r="366">
      <c r="A366" s="15">
        <v>374.0</v>
      </c>
      <c r="B366" s="47" t="s">
        <v>265</v>
      </c>
      <c r="C366" s="17" t="s">
        <v>116</v>
      </c>
      <c r="D366" s="121">
        <v>2.025010007106E12</v>
      </c>
      <c r="E366" s="121">
        <v>1.2242524728E10</v>
      </c>
      <c r="F366" s="114" t="s">
        <v>3165</v>
      </c>
      <c r="G366" s="114" t="s">
        <v>3166</v>
      </c>
      <c r="H366" s="114" t="s">
        <v>555</v>
      </c>
      <c r="I366" s="114" t="s">
        <v>126</v>
      </c>
      <c r="J366" s="114" t="s">
        <v>663</v>
      </c>
      <c r="K366" s="114">
        <v>123456.0</v>
      </c>
      <c r="L366" s="114">
        <v>6.280186919E9</v>
      </c>
      <c r="M366" s="114">
        <v>9.91433767E9</v>
      </c>
      <c r="N366" s="114">
        <v>7.814668128E9</v>
      </c>
      <c r="O366" s="115">
        <v>38925.0</v>
      </c>
      <c r="P366" s="114" t="s">
        <v>3167</v>
      </c>
      <c r="Q366" s="114" t="s">
        <v>3168</v>
      </c>
      <c r="R366" s="114" t="s">
        <v>135</v>
      </c>
      <c r="S366" s="114" t="s">
        <v>136</v>
      </c>
      <c r="T366" s="114">
        <v>143501.0</v>
      </c>
      <c r="U366" s="114" t="s">
        <v>321</v>
      </c>
      <c r="V366" s="114" t="s">
        <v>156</v>
      </c>
      <c r="W366" s="126" t="s">
        <v>141</v>
      </c>
      <c r="X366" s="114" t="s">
        <v>3169</v>
      </c>
      <c r="Y366" s="114" t="s">
        <v>992</v>
      </c>
      <c r="Z366" s="122"/>
      <c r="AA366" s="116"/>
      <c r="AB366" s="123"/>
      <c r="AC366" s="123"/>
      <c r="AD366" s="124"/>
      <c r="AE366" s="124"/>
      <c r="AF366" s="125">
        <v>2.55177311681E11</v>
      </c>
      <c r="AG366" s="109"/>
      <c r="AH366" s="109"/>
    </row>
    <row r="367">
      <c r="A367" s="15">
        <v>375.0</v>
      </c>
      <c r="B367" s="47" t="s">
        <v>265</v>
      </c>
      <c r="C367" s="17" t="s">
        <v>116</v>
      </c>
      <c r="D367" s="113">
        <v>2.025010007561E12</v>
      </c>
      <c r="E367" s="113">
        <v>1.2242524729E10</v>
      </c>
      <c r="F367" s="114" t="s">
        <v>3170</v>
      </c>
      <c r="G367" s="114" t="s">
        <v>3171</v>
      </c>
      <c r="H367" s="114" t="s">
        <v>1410</v>
      </c>
      <c r="I367" s="114" t="s">
        <v>126</v>
      </c>
      <c r="J367" s="114" t="s">
        <v>688</v>
      </c>
      <c r="K367" s="114">
        <v>123456.0</v>
      </c>
      <c r="L367" s="114">
        <v>6.239226525E9</v>
      </c>
      <c r="M367" s="114" t="s">
        <v>3172</v>
      </c>
      <c r="N367" s="114">
        <v>8.837526597E9</v>
      </c>
      <c r="O367" s="115">
        <v>38887.0</v>
      </c>
      <c r="P367" s="114" t="s">
        <v>3173</v>
      </c>
      <c r="Q367" s="114" t="s">
        <v>3174</v>
      </c>
      <c r="R367" s="114" t="s">
        <v>3175</v>
      </c>
      <c r="S367" s="114" t="s">
        <v>136</v>
      </c>
      <c r="T367" s="114">
        <v>152002.0</v>
      </c>
      <c r="U367" s="114" t="s">
        <v>2064</v>
      </c>
      <c r="V367" s="114" t="s">
        <v>156</v>
      </c>
      <c r="W367" s="126" t="s">
        <v>141</v>
      </c>
      <c r="X367" s="114" t="s">
        <v>229</v>
      </c>
      <c r="Y367" s="114" t="s">
        <v>992</v>
      </c>
      <c r="Z367" s="122"/>
      <c r="AA367" s="116"/>
      <c r="AB367" s="123"/>
      <c r="AC367" s="123"/>
      <c r="AD367" s="124"/>
      <c r="AE367" s="124"/>
      <c r="AF367" s="119">
        <v>5.65191263732E11</v>
      </c>
      <c r="AG367" s="109"/>
      <c r="AH367" s="109"/>
    </row>
    <row r="368">
      <c r="A368" s="15">
        <v>376.0</v>
      </c>
      <c r="B368" s="47" t="s">
        <v>265</v>
      </c>
      <c r="C368" s="17" t="s">
        <v>116</v>
      </c>
      <c r="D368" s="121">
        <v>2.025010008961E12</v>
      </c>
      <c r="E368" s="121">
        <v>1.224252473E10</v>
      </c>
      <c r="F368" s="114" t="s">
        <v>3176</v>
      </c>
      <c r="G368" s="114" t="s">
        <v>3177</v>
      </c>
      <c r="H368" s="114" t="s">
        <v>699</v>
      </c>
      <c r="I368" s="114" t="s">
        <v>164</v>
      </c>
      <c r="J368" s="114" t="s">
        <v>701</v>
      </c>
      <c r="K368" s="114">
        <v>123456.0</v>
      </c>
      <c r="L368" s="114">
        <v>7.340871969E9</v>
      </c>
      <c r="M368" s="114">
        <v>9.463971969E9</v>
      </c>
      <c r="N368" s="114">
        <v>9.877107114E9</v>
      </c>
      <c r="O368" s="115">
        <v>38934.0</v>
      </c>
      <c r="P368" s="114" t="s">
        <v>3178</v>
      </c>
      <c r="Q368" s="114" t="s">
        <v>3179</v>
      </c>
      <c r="R368" s="114" t="s">
        <v>609</v>
      </c>
      <c r="S368" s="114" t="s">
        <v>136</v>
      </c>
      <c r="T368" s="114">
        <v>143521.0</v>
      </c>
      <c r="U368" s="114" t="s">
        <v>1598</v>
      </c>
      <c r="V368" s="114" t="s">
        <v>66</v>
      </c>
      <c r="W368" s="126" t="s">
        <v>141</v>
      </c>
      <c r="X368" s="114" t="s">
        <v>208</v>
      </c>
      <c r="Y368" s="114" t="s">
        <v>2642</v>
      </c>
      <c r="Z368" s="122"/>
      <c r="AA368" s="116"/>
      <c r="AB368" s="123"/>
      <c r="AC368" s="123"/>
      <c r="AD368" s="124"/>
      <c r="AE368" s="124"/>
      <c r="AF368" s="125">
        <v>6.55198959479E11</v>
      </c>
      <c r="AG368" s="109"/>
      <c r="AH368" s="109"/>
    </row>
    <row r="369">
      <c r="A369" s="15">
        <v>377.0</v>
      </c>
      <c r="B369" s="47" t="s">
        <v>265</v>
      </c>
      <c r="C369" s="17" t="s">
        <v>116</v>
      </c>
      <c r="D369" s="113">
        <v>2.025010010649E12</v>
      </c>
      <c r="E369" s="113">
        <v>1.2242524731E10</v>
      </c>
      <c r="F369" s="114" t="s">
        <v>3180</v>
      </c>
      <c r="G369" s="114" t="s">
        <v>3181</v>
      </c>
      <c r="H369" s="114" t="s">
        <v>3182</v>
      </c>
      <c r="I369" s="114" t="s">
        <v>164</v>
      </c>
      <c r="J369" s="114" t="s">
        <v>709</v>
      </c>
      <c r="K369" s="114">
        <v>123456.0</v>
      </c>
      <c r="L369" s="114">
        <v>7.973759373E9</v>
      </c>
      <c r="M369" s="114">
        <v>9.888172605E9</v>
      </c>
      <c r="N369" s="117" t="str">
        <f>+91 6284-959267</f>
        <v>#ERROR!</v>
      </c>
      <c r="O369" s="115">
        <v>39198.0</v>
      </c>
      <c r="P369" s="114" t="s">
        <v>3183</v>
      </c>
      <c r="Q369" s="114" t="s">
        <v>3184</v>
      </c>
      <c r="R369" s="114" t="s">
        <v>437</v>
      </c>
      <c r="S369" s="114" t="s">
        <v>136</v>
      </c>
      <c r="T369" s="114">
        <v>143401.0</v>
      </c>
      <c r="U369" s="114" t="s">
        <v>2064</v>
      </c>
      <c r="V369" s="114" t="s">
        <v>66</v>
      </c>
      <c r="W369" s="126" t="s">
        <v>141</v>
      </c>
      <c r="X369" s="114" t="s">
        <v>208</v>
      </c>
      <c r="Y369" s="114" t="s">
        <v>992</v>
      </c>
      <c r="Z369" s="122"/>
      <c r="AA369" s="116"/>
      <c r="AB369" s="123"/>
      <c r="AC369" s="123"/>
      <c r="AD369" s="124"/>
      <c r="AE369" s="124"/>
      <c r="AF369" s="119">
        <v>6.5224401715E10</v>
      </c>
      <c r="AG369" s="109"/>
      <c r="AH369" s="109"/>
    </row>
    <row r="370">
      <c r="A370" s="15">
        <v>378.0</v>
      </c>
      <c r="B370" s="47" t="s">
        <v>265</v>
      </c>
      <c r="C370" s="17" t="s">
        <v>116</v>
      </c>
      <c r="D370" s="121">
        <v>2.025010012489E12</v>
      </c>
      <c r="E370" s="121">
        <v>1.2242524732E10</v>
      </c>
      <c r="F370" s="114" t="s">
        <v>719</v>
      </c>
      <c r="G370" s="114" t="s">
        <v>720</v>
      </c>
      <c r="H370" s="114" t="s">
        <v>3185</v>
      </c>
      <c r="I370" s="114" t="s">
        <v>126</v>
      </c>
      <c r="J370" s="114" t="s">
        <v>721</v>
      </c>
      <c r="K370" s="114">
        <v>123456.0</v>
      </c>
      <c r="L370" s="114">
        <v>9.041956291E9</v>
      </c>
      <c r="M370" s="114">
        <v>9.592017607E9</v>
      </c>
      <c r="N370" s="114">
        <v>6.280508069E9</v>
      </c>
      <c r="O370" s="115">
        <v>38388.0</v>
      </c>
      <c r="P370" s="114" t="s">
        <v>3186</v>
      </c>
      <c r="Q370" s="114" t="s">
        <v>3187</v>
      </c>
      <c r="R370" s="114" t="s">
        <v>295</v>
      </c>
      <c r="S370" s="114" t="s">
        <v>296</v>
      </c>
      <c r="T370" s="114">
        <v>143401.0</v>
      </c>
      <c r="U370" s="114" t="s">
        <v>169</v>
      </c>
      <c r="V370" s="114" t="s">
        <v>2650</v>
      </c>
      <c r="W370" s="126" t="s">
        <v>141</v>
      </c>
      <c r="X370" s="114" t="s">
        <v>3188</v>
      </c>
      <c r="Y370" s="114" t="s">
        <v>2656</v>
      </c>
      <c r="Z370" s="122"/>
      <c r="AA370" s="116"/>
      <c r="AB370" s="123"/>
      <c r="AC370" s="123"/>
      <c r="AD370" s="124"/>
      <c r="AE370" s="124"/>
      <c r="AF370" s="125">
        <v>4.29028111312E11</v>
      </c>
      <c r="AG370" s="109"/>
      <c r="AH370" s="109"/>
    </row>
    <row r="371">
      <c r="A371" s="15">
        <v>379.0</v>
      </c>
      <c r="B371" s="47" t="s">
        <v>265</v>
      </c>
      <c r="C371" s="17" t="s">
        <v>116</v>
      </c>
      <c r="D371" s="113">
        <v>2.025010024902E12</v>
      </c>
      <c r="E371" s="113">
        <v>1.2242524733E10</v>
      </c>
      <c r="F371" s="114" t="s">
        <v>1233</v>
      </c>
      <c r="G371" s="114" t="s">
        <v>3189</v>
      </c>
      <c r="H371" s="114" t="s">
        <v>732</v>
      </c>
      <c r="I371" s="114" t="s">
        <v>126</v>
      </c>
      <c r="J371" s="114" t="s">
        <v>3190</v>
      </c>
      <c r="K371" s="114">
        <v>123456.0</v>
      </c>
      <c r="L371" s="114">
        <v>9.872188369E9</v>
      </c>
      <c r="M371" s="114">
        <v>8.729088369E9</v>
      </c>
      <c r="N371" s="114">
        <v>8.196843097E9</v>
      </c>
      <c r="O371" s="115">
        <v>38910.0</v>
      </c>
      <c r="P371" s="114" t="s">
        <v>3191</v>
      </c>
      <c r="Q371" s="114" t="s">
        <v>3192</v>
      </c>
      <c r="R371" s="114" t="s">
        <v>595</v>
      </c>
      <c r="S371" s="114" t="s">
        <v>136</v>
      </c>
      <c r="T371" s="114">
        <v>152023.0</v>
      </c>
      <c r="U371" s="114" t="s">
        <v>3193</v>
      </c>
      <c r="V371" s="114" t="s">
        <v>156</v>
      </c>
      <c r="W371" s="126" t="s">
        <v>141</v>
      </c>
      <c r="X371" s="114" t="s">
        <v>3052</v>
      </c>
      <c r="Y371" s="114" t="s">
        <v>992</v>
      </c>
      <c r="Z371" s="114" t="s">
        <v>80</v>
      </c>
      <c r="AA371" s="116"/>
      <c r="AB371" s="123"/>
      <c r="AC371" s="123"/>
      <c r="AD371" s="124"/>
      <c r="AE371" s="124"/>
      <c r="AF371" s="119">
        <v>7.50279315096E11</v>
      </c>
      <c r="AG371" s="109"/>
      <c r="AH371" s="109"/>
    </row>
    <row r="372">
      <c r="A372" s="15">
        <v>380.0</v>
      </c>
      <c r="B372" s="47" t="s">
        <v>265</v>
      </c>
      <c r="C372" s="17" t="s">
        <v>116</v>
      </c>
      <c r="D372" s="121">
        <v>2.025010026691E12</v>
      </c>
      <c r="E372" s="121">
        <v>1.2242524734E10</v>
      </c>
      <c r="F372" s="114" t="s">
        <v>3194</v>
      </c>
      <c r="G372" s="114" t="s">
        <v>3195</v>
      </c>
      <c r="H372" s="114" t="s">
        <v>3196</v>
      </c>
      <c r="I372" s="114" t="s">
        <v>126</v>
      </c>
      <c r="J372" s="114" t="s">
        <v>744</v>
      </c>
      <c r="K372" s="114">
        <v>123456.0</v>
      </c>
      <c r="L372" s="114">
        <v>7.719751193E9</v>
      </c>
      <c r="M372" s="114">
        <v>9.915854574E9</v>
      </c>
      <c r="N372" s="114">
        <v>7.988950191E9</v>
      </c>
      <c r="O372" s="115">
        <v>39304.0</v>
      </c>
      <c r="P372" s="114" t="s">
        <v>3197</v>
      </c>
      <c r="Q372" s="114" t="s">
        <v>3198</v>
      </c>
      <c r="R372" s="114" t="s">
        <v>609</v>
      </c>
      <c r="S372" s="114" t="s">
        <v>136</v>
      </c>
      <c r="T372" s="114">
        <v>143507.0</v>
      </c>
      <c r="U372" s="114" t="s">
        <v>3199</v>
      </c>
      <c r="V372" s="114" t="s">
        <v>156</v>
      </c>
      <c r="W372" s="126" t="s">
        <v>141</v>
      </c>
      <c r="X372" s="114" t="s">
        <v>143</v>
      </c>
      <c r="Y372" s="114" t="s">
        <v>992</v>
      </c>
      <c r="Z372" s="122"/>
      <c r="AA372" s="116"/>
      <c r="AB372" s="123"/>
      <c r="AC372" s="123"/>
      <c r="AD372" s="124"/>
      <c r="AE372" s="124"/>
      <c r="AF372" s="125">
        <v>7.53226845199E11</v>
      </c>
      <c r="AG372" s="109"/>
      <c r="AH372" s="109"/>
    </row>
    <row r="373">
      <c r="A373" s="15">
        <v>381.0</v>
      </c>
      <c r="B373" s="47" t="s">
        <v>265</v>
      </c>
      <c r="C373" s="17" t="s">
        <v>116</v>
      </c>
      <c r="D373" s="113">
        <v>2.025010042959E12</v>
      </c>
      <c r="E373" s="113">
        <v>1.2242524735E10</v>
      </c>
      <c r="F373" s="114" t="s">
        <v>3200</v>
      </c>
      <c r="G373" s="114" t="s">
        <v>3201</v>
      </c>
      <c r="H373" s="114" t="s">
        <v>3202</v>
      </c>
      <c r="I373" s="114" t="s">
        <v>126</v>
      </c>
      <c r="J373" s="114" t="s">
        <v>758</v>
      </c>
      <c r="K373" s="114">
        <v>123456.0</v>
      </c>
      <c r="L373" s="114">
        <v>7.009595551E9</v>
      </c>
      <c r="M373" s="114">
        <v>9.463713871E9</v>
      </c>
      <c r="N373" s="114">
        <v>8.288827105E9</v>
      </c>
      <c r="O373" s="115">
        <v>38976.0</v>
      </c>
      <c r="P373" s="114" t="s">
        <v>3203</v>
      </c>
      <c r="Q373" s="114" t="s">
        <v>3204</v>
      </c>
      <c r="R373" s="114" t="s">
        <v>646</v>
      </c>
      <c r="S373" s="114" t="s">
        <v>136</v>
      </c>
      <c r="T373" s="114">
        <v>143505.0</v>
      </c>
      <c r="U373" s="114" t="s">
        <v>321</v>
      </c>
      <c r="V373" s="114" t="s">
        <v>156</v>
      </c>
      <c r="W373" s="126" t="s">
        <v>141</v>
      </c>
      <c r="X373" s="114" t="s">
        <v>793</v>
      </c>
      <c r="Y373" s="114" t="s">
        <v>992</v>
      </c>
      <c r="Z373" s="122"/>
      <c r="AA373" s="116"/>
      <c r="AB373" s="123"/>
      <c r="AC373" s="123"/>
      <c r="AD373" s="124"/>
      <c r="AE373" s="124"/>
      <c r="AF373" s="119" t="s">
        <v>3205</v>
      </c>
      <c r="AG373" s="109"/>
      <c r="AH373" s="109"/>
    </row>
    <row r="374">
      <c r="A374" s="15">
        <v>382.0</v>
      </c>
      <c r="B374" s="47" t="s">
        <v>265</v>
      </c>
      <c r="C374" s="17" t="s">
        <v>116</v>
      </c>
      <c r="D374" s="121">
        <v>2.025010043006E12</v>
      </c>
      <c r="E374" s="121">
        <v>1.2242524736E10</v>
      </c>
      <c r="F374" s="114" t="s">
        <v>3206</v>
      </c>
      <c r="G374" s="114" t="s">
        <v>3055</v>
      </c>
      <c r="H374" s="114" t="s">
        <v>1953</v>
      </c>
      <c r="I374" s="114" t="s">
        <v>126</v>
      </c>
      <c r="J374" s="114" t="s">
        <v>766</v>
      </c>
      <c r="K374" s="114">
        <v>123456.0</v>
      </c>
      <c r="L374" s="114">
        <v>8.133065529E9</v>
      </c>
      <c r="M374" s="114">
        <v>7.717399545E9</v>
      </c>
      <c r="N374" s="114">
        <v>7.973273775E9</v>
      </c>
      <c r="O374" s="115">
        <v>38667.0</v>
      </c>
      <c r="P374" s="114" t="s">
        <v>3207</v>
      </c>
      <c r="Q374" s="114" t="s">
        <v>3208</v>
      </c>
      <c r="R374" s="114" t="s">
        <v>716</v>
      </c>
      <c r="S374" s="114" t="s">
        <v>136</v>
      </c>
      <c r="T374" s="114">
        <v>143303.0</v>
      </c>
      <c r="U374" s="114" t="s">
        <v>1598</v>
      </c>
      <c r="V374" s="114" t="s">
        <v>156</v>
      </c>
      <c r="W374" s="126" t="s">
        <v>141</v>
      </c>
      <c r="X374" s="114" t="s">
        <v>143</v>
      </c>
      <c r="Y374" s="114" t="s">
        <v>992</v>
      </c>
      <c r="Z374" s="114" t="s">
        <v>80</v>
      </c>
      <c r="AA374" s="116"/>
      <c r="AB374" s="123"/>
      <c r="AC374" s="123"/>
      <c r="AD374" s="124"/>
      <c r="AE374" s="124"/>
      <c r="AF374" s="125">
        <v>9.18586658145E11</v>
      </c>
      <c r="AG374" s="109"/>
      <c r="AH374" s="109"/>
    </row>
    <row r="375">
      <c r="A375" s="15">
        <v>383.0</v>
      </c>
      <c r="B375" s="47" t="s">
        <v>265</v>
      </c>
      <c r="C375" s="17" t="s">
        <v>116</v>
      </c>
      <c r="D375" s="113">
        <v>2.025010043019E12</v>
      </c>
      <c r="E375" s="113">
        <v>1.2242524737E10</v>
      </c>
      <c r="F375" s="114" t="s">
        <v>3209</v>
      </c>
      <c r="G375" s="114" t="s">
        <v>3210</v>
      </c>
      <c r="H375" s="114" t="s">
        <v>3211</v>
      </c>
      <c r="I375" s="114" t="s">
        <v>126</v>
      </c>
      <c r="J375" s="114" t="s">
        <v>779</v>
      </c>
      <c r="K375" s="114">
        <v>123456.0</v>
      </c>
      <c r="L375" s="114">
        <v>7.009236574E9</v>
      </c>
      <c r="M375" s="114">
        <v>7.431930074E9</v>
      </c>
      <c r="N375" s="114">
        <v>9.781489857E9</v>
      </c>
      <c r="O375" s="115">
        <v>39531.0</v>
      </c>
      <c r="P375" s="114" t="s">
        <v>3212</v>
      </c>
      <c r="Q375" s="114" t="s">
        <v>3213</v>
      </c>
      <c r="R375" s="114" t="s">
        <v>3214</v>
      </c>
      <c r="S375" s="114" t="s">
        <v>136</v>
      </c>
      <c r="T375" s="114">
        <v>140102.0</v>
      </c>
      <c r="U375" s="114" t="s">
        <v>3199</v>
      </c>
      <c r="V375" s="114" t="s">
        <v>156</v>
      </c>
      <c r="W375" s="126" t="s">
        <v>141</v>
      </c>
      <c r="X375" s="114" t="s">
        <v>229</v>
      </c>
      <c r="Y375" s="114" t="s">
        <v>992</v>
      </c>
      <c r="Z375" s="122"/>
      <c r="AA375" s="116"/>
      <c r="AB375" s="123"/>
      <c r="AC375" s="123"/>
      <c r="AD375" s="124"/>
      <c r="AE375" s="124"/>
      <c r="AF375" s="119">
        <v>3.16164921878E11</v>
      </c>
      <c r="AG375" s="109"/>
      <c r="AH375" s="109"/>
    </row>
    <row r="376">
      <c r="A376" s="15">
        <v>384.0</v>
      </c>
      <c r="B376" s="47" t="s">
        <v>265</v>
      </c>
      <c r="C376" s="17" t="s">
        <v>116</v>
      </c>
      <c r="D376" s="121">
        <v>2.025010043027E12</v>
      </c>
      <c r="E376" s="121">
        <v>1.2242524738E10</v>
      </c>
      <c r="F376" s="114" t="s">
        <v>3215</v>
      </c>
      <c r="G376" s="114" t="s">
        <v>3216</v>
      </c>
      <c r="H376" s="114" t="s">
        <v>1924</v>
      </c>
      <c r="I376" s="114" t="s">
        <v>126</v>
      </c>
      <c r="J376" s="114" t="s">
        <v>792</v>
      </c>
      <c r="K376" s="114">
        <v>123456.0</v>
      </c>
      <c r="L376" s="114" t="s">
        <v>3217</v>
      </c>
      <c r="M376" s="114" t="s">
        <v>3218</v>
      </c>
      <c r="N376" s="114" t="s">
        <v>3218</v>
      </c>
      <c r="O376" s="115">
        <v>39711.0</v>
      </c>
      <c r="P376" s="114" t="s">
        <v>3219</v>
      </c>
      <c r="Q376" s="114" t="s">
        <v>3220</v>
      </c>
      <c r="R376" s="114" t="s">
        <v>595</v>
      </c>
      <c r="S376" s="114" t="s">
        <v>747</v>
      </c>
      <c r="T376" s="114">
        <v>142047.0</v>
      </c>
      <c r="U376" s="114" t="s">
        <v>1598</v>
      </c>
      <c r="V376" s="114" t="s">
        <v>3221</v>
      </c>
      <c r="W376" s="126" t="s">
        <v>141</v>
      </c>
      <c r="X376" s="114" t="s">
        <v>143</v>
      </c>
      <c r="Y376" s="114" t="s">
        <v>3053</v>
      </c>
      <c r="Z376" s="114" t="s">
        <v>80</v>
      </c>
      <c r="AA376" s="116"/>
      <c r="AB376" s="123"/>
      <c r="AC376" s="123"/>
      <c r="AD376" s="124"/>
      <c r="AE376" s="124"/>
      <c r="AF376" s="125">
        <v>9.5775580944E11</v>
      </c>
      <c r="AG376" s="109"/>
      <c r="AH376" s="109"/>
    </row>
    <row r="377">
      <c r="A377" s="15">
        <v>385.0</v>
      </c>
      <c r="B377" s="47" t="s">
        <v>265</v>
      </c>
      <c r="C377" s="17" t="s">
        <v>116</v>
      </c>
      <c r="D377" s="113">
        <v>2.025010043035E12</v>
      </c>
      <c r="E377" s="113">
        <v>1.2242524739E10</v>
      </c>
      <c r="F377" s="114" t="s">
        <v>1253</v>
      </c>
      <c r="G377" s="114" t="s">
        <v>3222</v>
      </c>
      <c r="H377" s="114" t="s">
        <v>483</v>
      </c>
      <c r="I377" s="114" t="s">
        <v>126</v>
      </c>
      <c r="J377" s="114" t="s">
        <v>804</v>
      </c>
      <c r="K377" s="114">
        <v>123456.0</v>
      </c>
      <c r="L377" s="114">
        <v>9.878030574E9</v>
      </c>
      <c r="M377" s="114">
        <v>9.81522992E9</v>
      </c>
      <c r="N377" s="114" t="s">
        <v>3223</v>
      </c>
      <c r="O377" s="115">
        <v>38718.0</v>
      </c>
      <c r="P377" s="114" t="s">
        <v>3224</v>
      </c>
      <c r="Q377" s="114" t="s">
        <v>3225</v>
      </c>
      <c r="R377" s="114" t="s">
        <v>135</v>
      </c>
      <c r="S377" s="114" t="s">
        <v>136</v>
      </c>
      <c r="T377" s="114">
        <v>143401.0</v>
      </c>
      <c r="U377" s="114" t="s">
        <v>2064</v>
      </c>
      <c r="V377" s="114" t="s">
        <v>156</v>
      </c>
      <c r="W377" s="126" t="s">
        <v>141</v>
      </c>
      <c r="X377" s="114" t="s">
        <v>506</v>
      </c>
      <c r="Y377" s="114" t="s">
        <v>992</v>
      </c>
      <c r="Z377" s="122"/>
      <c r="AA377" s="116"/>
      <c r="AB377" s="123"/>
      <c r="AC377" s="123"/>
      <c r="AD377" s="124"/>
      <c r="AE377" s="124"/>
      <c r="AF377" s="119">
        <v>8.96376427363E11</v>
      </c>
      <c r="AG377" s="109"/>
      <c r="AH377" s="109"/>
    </row>
    <row r="378">
      <c r="A378" s="15">
        <v>386.0</v>
      </c>
      <c r="B378" s="47" t="s">
        <v>265</v>
      </c>
      <c r="C378" s="17" t="s">
        <v>116</v>
      </c>
      <c r="D378" s="121">
        <v>2.025010043052E12</v>
      </c>
      <c r="E378" s="121">
        <v>1.224252474E10</v>
      </c>
      <c r="F378" s="114" t="s">
        <v>3226</v>
      </c>
      <c r="G378" s="114" t="s">
        <v>3227</v>
      </c>
      <c r="H378" s="114" t="s">
        <v>813</v>
      </c>
      <c r="I378" s="114" t="s">
        <v>126</v>
      </c>
      <c r="J378" s="114" t="s">
        <v>814</v>
      </c>
      <c r="K378" s="114">
        <v>123456.0</v>
      </c>
      <c r="L378" s="114">
        <v>6.284577151E9</v>
      </c>
      <c r="M378" s="114">
        <v>9.83586E9</v>
      </c>
      <c r="N378" s="114">
        <v>9.78137082E9</v>
      </c>
      <c r="O378" s="115">
        <v>39041.0</v>
      </c>
      <c r="P378" s="114" t="s">
        <v>3228</v>
      </c>
      <c r="Q378" s="114" t="s">
        <v>3229</v>
      </c>
      <c r="R378" s="114" t="s">
        <v>135</v>
      </c>
      <c r="S378" s="114" t="s">
        <v>136</v>
      </c>
      <c r="T378" s="114">
        <v>143603.0</v>
      </c>
      <c r="U378" s="114" t="s">
        <v>2064</v>
      </c>
      <c r="V378" s="114" t="s">
        <v>156</v>
      </c>
      <c r="W378" s="126" t="s">
        <v>141</v>
      </c>
      <c r="X378" s="114" t="s">
        <v>229</v>
      </c>
      <c r="Y378" s="114" t="s">
        <v>992</v>
      </c>
      <c r="Z378" s="122"/>
      <c r="AA378" s="116"/>
      <c r="AB378" s="123"/>
      <c r="AC378" s="123"/>
      <c r="AD378" s="124"/>
      <c r="AE378" s="124"/>
      <c r="AF378" s="125">
        <v>5.8361748215E11</v>
      </c>
      <c r="AG378" s="109"/>
      <c r="AH378" s="109"/>
    </row>
    <row r="379">
      <c r="A379" s="15">
        <v>387.0</v>
      </c>
      <c r="B379" s="47" t="s">
        <v>265</v>
      </c>
      <c r="C379" s="17" t="s">
        <v>116</v>
      </c>
      <c r="D379" s="113">
        <v>2.025010043054E12</v>
      </c>
      <c r="E379" s="113">
        <v>1.2242524741E10</v>
      </c>
      <c r="F379" s="114" t="s">
        <v>3230</v>
      </c>
      <c r="G379" s="114" t="s">
        <v>289</v>
      </c>
      <c r="H379" s="114" t="s">
        <v>823</v>
      </c>
      <c r="I379" s="114" t="s">
        <v>126</v>
      </c>
      <c r="J379" s="114" t="s">
        <v>826</v>
      </c>
      <c r="K379" s="114">
        <v>123456.0</v>
      </c>
      <c r="L379" s="114">
        <v>7.710458845E9</v>
      </c>
      <c r="M379" s="114">
        <v>9.872427631E9</v>
      </c>
      <c r="N379" s="114">
        <v>9.592869923E9</v>
      </c>
      <c r="O379" s="115">
        <v>39319.0</v>
      </c>
      <c r="P379" s="114" t="s">
        <v>3231</v>
      </c>
      <c r="Q379" s="114" t="s">
        <v>3232</v>
      </c>
      <c r="R379" s="114" t="s">
        <v>135</v>
      </c>
      <c r="S379" s="114" t="s">
        <v>136</v>
      </c>
      <c r="T379" s="114">
        <v>143111.0</v>
      </c>
      <c r="U379" s="114" t="s">
        <v>321</v>
      </c>
      <c r="V379" s="114" t="s">
        <v>156</v>
      </c>
      <c r="W379" s="126" t="s">
        <v>141</v>
      </c>
      <c r="X379" s="114" t="s">
        <v>793</v>
      </c>
      <c r="Y379" s="114" t="s">
        <v>992</v>
      </c>
      <c r="Z379" s="122"/>
      <c r="AA379" s="126" t="s">
        <v>3059</v>
      </c>
      <c r="AB379" s="123"/>
      <c r="AC379" s="123"/>
      <c r="AD379" s="124"/>
      <c r="AE379" s="124"/>
      <c r="AF379" s="119">
        <v>9.3396068031E11</v>
      </c>
      <c r="AG379" s="109"/>
      <c r="AH379" s="109"/>
    </row>
    <row r="380">
      <c r="A380" s="15">
        <v>388.0</v>
      </c>
      <c r="B380" s="47" t="s">
        <v>265</v>
      </c>
      <c r="C380" s="17" t="s">
        <v>116</v>
      </c>
      <c r="D380" s="121">
        <v>2.025010043055E12</v>
      </c>
      <c r="E380" s="121">
        <v>1.2242524742E10</v>
      </c>
      <c r="F380" s="114" t="s">
        <v>3233</v>
      </c>
      <c r="G380" s="114" t="s">
        <v>3234</v>
      </c>
      <c r="H380" s="114" t="s">
        <v>833</v>
      </c>
      <c r="I380" s="114" t="s">
        <v>164</v>
      </c>
      <c r="J380" s="114" t="s">
        <v>835</v>
      </c>
      <c r="K380" s="114">
        <v>123456.0</v>
      </c>
      <c r="L380" s="114">
        <v>9.872431403E9</v>
      </c>
      <c r="M380" s="114">
        <v>9.81469039E9</v>
      </c>
      <c r="N380" s="114">
        <v>9.646565171E9</v>
      </c>
      <c r="O380" s="115">
        <v>39213.0</v>
      </c>
      <c r="P380" s="114" t="s">
        <v>3235</v>
      </c>
      <c r="Q380" s="114" t="s">
        <v>3236</v>
      </c>
      <c r="R380" s="114" t="s">
        <v>135</v>
      </c>
      <c r="S380" s="114" t="s">
        <v>136</v>
      </c>
      <c r="T380" s="114">
        <v>143001.0</v>
      </c>
      <c r="U380" s="114" t="s">
        <v>2064</v>
      </c>
      <c r="V380" s="114" t="s">
        <v>66</v>
      </c>
      <c r="W380" s="126" t="s">
        <v>141</v>
      </c>
      <c r="X380" s="114" t="s">
        <v>143</v>
      </c>
      <c r="Y380" s="114" t="s">
        <v>2642</v>
      </c>
      <c r="Z380" s="122"/>
      <c r="AA380" s="116"/>
      <c r="AB380" s="123"/>
      <c r="AC380" s="123"/>
      <c r="AD380" s="124"/>
      <c r="AE380" s="124"/>
      <c r="AF380" s="125">
        <v>2.16473591691E11</v>
      </c>
      <c r="AG380" s="109"/>
      <c r="AH380" s="109"/>
    </row>
    <row r="381">
      <c r="A381" s="15">
        <v>389.0</v>
      </c>
      <c r="B381" s="47" t="s">
        <v>265</v>
      </c>
      <c r="C381" s="17" t="s">
        <v>116</v>
      </c>
      <c r="D381" s="113">
        <v>2.025010043056E12</v>
      </c>
      <c r="E381" s="113">
        <v>1.2242524743E10</v>
      </c>
      <c r="F381" s="114" t="s">
        <v>3237</v>
      </c>
      <c r="G381" s="114" t="s">
        <v>3238</v>
      </c>
      <c r="H381" s="114" t="s">
        <v>808</v>
      </c>
      <c r="I381" s="114" t="s">
        <v>126</v>
      </c>
      <c r="J381" s="114" t="s">
        <v>3239</v>
      </c>
      <c r="K381" s="114">
        <v>123456.0</v>
      </c>
      <c r="L381" s="114">
        <v>7.681940978E9</v>
      </c>
      <c r="M381" s="114">
        <v>9.780187451E9</v>
      </c>
      <c r="N381" s="114">
        <v>7.681940978E9</v>
      </c>
      <c r="O381" s="115">
        <v>39465.0</v>
      </c>
      <c r="P381" s="114" t="s">
        <v>3240</v>
      </c>
      <c r="Q381" s="114" t="s">
        <v>3241</v>
      </c>
      <c r="R381" s="114" t="s">
        <v>135</v>
      </c>
      <c r="S381" s="114" t="s">
        <v>136</v>
      </c>
      <c r="T381" s="114">
        <v>1435014.0</v>
      </c>
      <c r="U381" s="114" t="s">
        <v>991</v>
      </c>
      <c r="V381" s="114" t="s">
        <v>156</v>
      </c>
      <c r="W381" s="126" t="s">
        <v>141</v>
      </c>
      <c r="X381" s="114" t="s">
        <v>143</v>
      </c>
      <c r="Y381" s="114" t="s">
        <v>2780</v>
      </c>
      <c r="Z381" s="114" t="s">
        <v>80</v>
      </c>
      <c r="AA381" s="116"/>
      <c r="AB381" s="123"/>
      <c r="AC381" s="123"/>
      <c r="AD381" s="124"/>
      <c r="AE381" s="124"/>
      <c r="AF381" s="119">
        <v>5.63734343982E11</v>
      </c>
      <c r="AG381" s="109"/>
      <c r="AH381" s="109"/>
    </row>
    <row r="382">
      <c r="A382" s="15">
        <v>390.0</v>
      </c>
      <c r="B382" s="47" t="s">
        <v>265</v>
      </c>
      <c r="C382" s="17" t="s">
        <v>116</v>
      </c>
      <c r="D382" s="121">
        <v>2.025010043058E12</v>
      </c>
      <c r="E382" s="121">
        <v>1.2242524744E10</v>
      </c>
      <c r="F382" s="114" t="s">
        <v>3242</v>
      </c>
      <c r="G382" s="114" t="s">
        <v>3243</v>
      </c>
      <c r="H382" s="114" t="s">
        <v>859</v>
      </c>
      <c r="I382" s="114" t="s">
        <v>126</v>
      </c>
      <c r="J382" s="114" t="s">
        <v>860</v>
      </c>
      <c r="K382" s="114">
        <v>123456.0</v>
      </c>
      <c r="L382" s="114">
        <v>9.59269955E9</v>
      </c>
      <c r="M382" s="114">
        <v>7.009701737E9</v>
      </c>
      <c r="N382" s="114">
        <v>9.59269955E9</v>
      </c>
      <c r="O382" s="115">
        <v>39361.0</v>
      </c>
      <c r="P382" s="114" t="s">
        <v>3244</v>
      </c>
      <c r="Q382" s="114" t="s">
        <v>3245</v>
      </c>
      <c r="R382" s="114" t="s">
        <v>1722</v>
      </c>
      <c r="S382" s="114" t="s">
        <v>136</v>
      </c>
      <c r="T382" s="114">
        <v>143115.0</v>
      </c>
      <c r="U382" s="114" t="s">
        <v>2064</v>
      </c>
      <c r="V382" s="114" t="s">
        <v>156</v>
      </c>
      <c r="W382" s="126" t="s">
        <v>141</v>
      </c>
      <c r="X382" s="114" t="s">
        <v>793</v>
      </c>
      <c r="Y382" s="114" t="s">
        <v>2642</v>
      </c>
      <c r="Z382" s="122"/>
      <c r="AA382" s="116"/>
      <c r="AB382" s="123"/>
      <c r="AC382" s="123"/>
      <c r="AD382" s="124"/>
      <c r="AE382" s="124"/>
      <c r="AF382" s="125" t="s">
        <v>3246</v>
      </c>
      <c r="AG382" s="109"/>
      <c r="AH382" s="109"/>
    </row>
    <row r="383">
      <c r="A383" s="15">
        <v>391.0</v>
      </c>
      <c r="B383" s="47" t="s">
        <v>265</v>
      </c>
      <c r="C383" s="17" t="s">
        <v>116</v>
      </c>
      <c r="D383" s="113">
        <v>2.025010043103E12</v>
      </c>
      <c r="E383" s="113">
        <v>1.2242524745E10</v>
      </c>
      <c r="F383" s="114" t="s">
        <v>3247</v>
      </c>
      <c r="G383" s="114" t="s">
        <v>3248</v>
      </c>
      <c r="H383" s="114" t="s">
        <v>623</v>
      </c>
      <c r="I383" s="114" t="s">
        <v>126</v>
      </c>
      <c r="J383" s="114" t="s">
        <v>871</v>
      </c>
      <c r="K383" s="114">
        <v>123456.0</v>
      </c>
      <c r="L383" s="114">
        <v>9.876051387E9</v>
      </c>
      <c r="M383" s="114">
        <v>9.815724174E9</v>
      </c>
      <c r="N383" s="114" t="s">
        <v>3249</v>
      </c>
      <c r="O383" s="115">
        <v>39144.0</v>
      </c>
      <c r="P383" s="114" t="s">
        <v>3250</v>
      </c>
      <c r="Q383" s="114" t="s">
        <v>3251</v>
      </c>
      <c r="R383" s="114" t="s">
        <v>3058</v>
      </c>
      <c r="S383" s="114" t="s">
        <v>136</v>
      </c>
      <c r="T383" s="114">
        <v>143303.0</v>
      </c>
      <c r="U383" s="114" t="s">
        <v>2064</v>
      </c>
      <c r="V383" s="114" t="s">
        <v>156</v>
      </c>
      <c r="W383" s="126" t="s">
        <v>141</v>
      </c>
      <c r="X383" s="114" t="s">
        <v>3252</v>
      </c>
      <c r="Y383" s="114" t="s">
        <v>992</v>
      </c>
      <c r="Z383" s="122"/>
      <c r="AA383" s="116"/>
      <c r="AB383" s="123"/>
      <c r="AC383" s="123"/>
      <c r="AD383" s="124"/>
      <c r="AE383" s="124"/>
      <c r="AF383" s="119">
        <v>6.75986427163E11</v>
      </c>
      <c r="AG383" s="109"/>
      <c r="AH383" s="109"/>
    </row>
    <row r="384">
      <c r="A384" s="15">
        <v>392.0</v>
      </c>
      <c r="B384" s="47" t="s">
        <v>265</v>
      </c>
      <c r="C384" s="17" t="s">
        <v>116</v>
      </c>
      <c r="D384" s="121">
        <v>2.025010043109E12</v>
      </c>
      <c r="E384" s="121">
        <v>1.2242524746E10</v>
      </c>
      <c r="F384" s="114" t="s">
        <v>3253</v>
      </c>
      <c r="G384" s="114" t="s">
        <v>3254</v>
      </c>
      <c r="H384" s="114" t="s">
        <v>881</v>
      </c>
      <c r="I384" s="114" t="s">
        <v>164</v>
      </c>
      <c r="J384" s="114" t="s">
        <v>882</v>
      </c>
      <c r="K384" s="114">
        <v>123456.0</v>
      </c>
      <c r="L384" s="114">
        <v>8.699902143E9</v>
      </c>
      <c r="M384" s="114">
        <v>9.646248618E9</v>
      </c>
      <c r="N384" s="114">
        <v>8.264725764E9</v>
      </c>
      <c r="O384" s="115">
        <v>38937.0</v>
      </c>
      <c r="P384" s="114" t="s">
        <v>3255</v>
      </c>
      <c r="Q384" s="114" t="s">
        <v>3256</v>
      </c>
      <c r="R384" s="114" t="s">
        <v>583</v>
      </c>
      <c r="S384" s="114" t="s">
        <v>136</v>
      </c>
      <c r="T384" s="114">
        <v>143102.0</v>
      </c>
      <c r="U384" s="114" t="s">
        <v>1598</v>
      </c>
      <c r="V384" s="114" t="s">
        <v>66</v>
      </c>
      <c r="W384" s="126" t="s">
        <v>141</v>
      </c>
      <c r="X384" s="114" t="s">
        <v>229</v>
      </c>
      <c r="Y384" s="114" t="s">
        <v>992</v>
      </c>
      <c r="Z384" s="114" t="s">
        <v>80</v>
      </c>
      <c r="AA384" s="116"/>
      <c r="AB384" s="123"/>
      <c r="AC384" s="123"/>
      <c r="AD384" s="124"/>
      <c r="AE384" s="124"/>
      <c r="AF384" s="125">
        <v>5.57251410229E11</v>
      </c>
      <c r="AG384" s="109"/>
      <c r="AH384" s="109"/>
    </row>
    <row r="385">
      <c r="A385" s="15">
        <v>393.0</v>
      </c>
      <c r="B385" s="47" t="s">
        <v>265</v>
      </c>
      <c r="C385" s="17" t="s">
        <v>116</v>
      </c>
      <c r="D385" s="113">
        <v>2.025010043115E12</v>
      </c>
      <c r="E385" s="113">
        <v>1.2242524747E10</v>
      </c>
      <c r="F385" s="114" t="s">
        <v>3257</v>
      </c>
      <c r="G385" s="114" t="s">
        <v>3258</v>
      </c>
      <c r="H385" s="114" t="s">
        <v>3087</v>
      </c>
      <c r="I385" s="114" t="s">
        <v>126</v>
      </c>
      <c r="J385" s="114" t="s">
        <v>894</v>
      </c>
      <c r="K385" s="114">
        <v>123456.0</v>
      </c>
      <c r="L385" s="114">
        <v>9.91528314E9</v>
      </c>
      <c r="M385" s="114">
        <v>9.417696769E9</v>
      </c>
      <c r="N385" s="114">
        <v>9.815733394E9</v>
      </c>
      <c r="O385" s="115">
        <v>39713.0</v>
      </c>
      <c r="P385" s="114" t="s">
        <v>3259</v>
      </c>
      <c r="Q385" s="114" t="s">
        <v>3260</v>
      </c>
      <c r="R385" s="114" t="s">
        <v>716</v>
      </c>
      <c r="S385" s="114" t="s">
        <v>136</v>
      </c>
      <c r="T385" s="114">
        <v>143305.0</v>
      </c>
      <c r="U385" s="114" t="s">
        <v>2064</v>
      </c>
      <c r="V385" s="114" t="s">
        <v>156</v>
      </c>
      <c r="W385" s="126" t="s">
        <v>141</v>
      </c>
      <c r="X385" s="114" t="s">
        <v>208</v>
      </c>
      <c r="Y385" s="114" t="s">
        <v>992</v>
      </c>
      <c r="Z385" s="122"/>
      <c r="AA385" s="116"/>
      <c r="AB385" s="123"/>
      <c r="AC385" s="123"/>
      <c r="AD385" s="124"/>
      <c r="AE385" s="124"/>
      <c r="AF385" s="119">
        <v>8.34972506483E11</v>
      </c>
      <c r="AG385" s="109"/>
      <c r="AH385" s="109"/>
    </row>
    <row r="386">
      <c r="A386" s="15">
        <v>394.0</v>
      </c>
      <c r="B386" s="47" t="s">
        <v>265</v>
      </c>
      <c r="C386" s="17" t="s">
        <v>116</v>
      </c>
      <c r="D386" s="121">
        <v>2.025010043125E12</v>
      </c>
      <c r="E386" s="121">
        <v>1.2242524748E10</v>
      </c>
      <c r="F386" s="114" t="s">
        <v>3261</v>
      </c>
      <c r="G386" s="114" t="s">
        <v>3262</v>
      </c>
      <c r="H386" s="114" t="s">
        <v>1668</v>
      </c>
      <c r="I386" s="114" t="s">
        <v>126</v>
      </c>
      <c r="J386" s="114" t="s">
        <v>905</v>
      </c>
      <c r="K386" s="114">
        <v>123456.0</v>
      </c>
      <c r="L386" s="114">
        <v>7.652896446E9</v>
      </c>
      <c r="M386" s="114">
        <v>9.056386446E9</v>
      </c>
      <c r="N386" s="114">
        <v>8.146730742E9</v>
      </c>
      <c r="O386" s="115">
        <v>39208.0</v>
      </c>
      <c r="P386" s="114" t="s">
        <v>3263</v>
      </c>
      <c r="Q386" s="114" t="s">
        <v>3264</v>
      </c>
      <c r="R386" s="114" t="s">
        <v>609</v>
      </c>
      <c r="S386" s="114" t="s">
        <v>136</v>
      </c>
      <c r="T386" s="114">
        <v>143505.0</v>
      </c>
      <c r="U386" s="114" t="s">
        <v>991</v>
      </c>
      <c r="V386" s="114" t="s">
        <v>156</v>
      </c>
      <c r="W386" s="126" t="s">
        <v>141</v>
      </c>
      <c r="X386" s="114" t="s">
        <v>143</v>
      </c>
      <c r="Y386" s="114" t="s">
        <v>992</v>
      </c>
      <c r="Z386" s="114" t="s">
        <v>80</v>
      </c>
      <c r="AA386" s="116"/>
      <c r="AB386" s="123"/>
      <c r="AC386" s="123"/>
      <c r="AD386" s="124"/>
      <c r="AE386" s="124"/>
      <c r="AF386" s="125">
        <v>6.59324160006E11</v>
      </c>
      <c r="AG386" s="109"/>
      <c r="AH386" s="109"/>
    </row>
    <row r="387">
      <c r="A387" s="15">
        <v>395.0</v>
      </c>
      <c r="B387" s="47" t="s">
        <v>265</v>
      </c>
      <c r="C387" s="17" t="s">
        <v>116</v>
      </c>
      <c r="D387" s="113">
        <v>2.025010043131E12</v>
      </c>
      <c r="E387" s="113">
        <v>1.2242524749E10</v>
      </c>
      <c r="F387" s="114" t="s">
        <v>3265</v>
      </c>
      <c r="G387" s="114" t="s">
        <v>3266</v>
      </c>
      <c r="H387" s="114" t="s">
        <v>3267</v>
      </c>
      <c r="I387" s="114" t="s">
        <v>164</v>
      </c>
      <c r="J387" s="114" t="s">
        <v>914</v>
      </c>
      <c r="K387" s="114">
        <v>123456.0</v>
      </c>
      <c r="L387" s="114">
        <v>9.056650642E9</v>
      </c>
      <c r="M387" s="114">
        <v>9.876050642E9</v>
      </c>
      <c r="N387" s="114">
        <v>8.288808642E9</v>
      </c>
      <c r="O387" s="115">
        <v>39060.0</v>
      </c>
      <c r="P387" s="114" t="s">
        <v>3268</v>
      </c>
      <c r="Q387" s="114" t="s">
        <v>3269</v>
      </c>
      <c r="R387" s="114" t="s">
        <v>135</v>
      </c>
      <c r="S387" s="114" t="s">
        <v>136</v>
      </c>
      <c r="T387" s="114">
        <v>143001.0</v>
      </c>
      <c r="U387" s="114" t="s">
        <v>2831</v>
      </c>
      <c r="V387" s="114" t="s">
        <v>66</v>
      </c>
      <c r="W387" s="126" t="s">
        <v>141</v>
      </c>
      <c r="X387" s="114" t="s">
        <v>143</v>
      </c>
      <c r="Y387" s="114" t="s">
        <v>992</v>
      </c>
      <c r="Z387" s="122"/>
      <c r="AA387" s="116"/>
      <c r="AB387" s="123"/>
      <c r="AC387" s="123"/>
      <c r="AD387" s="124"/>
      <c r="AE387" s="124"/>
      <c r="AF387" s="119">
        <v>8.68942081036E11</v>
      </c>
      <c r="AG387" s="109"/>
      <c r="AH387" s="109"/>
    </row>
    <row r="388">
      <c r="A388" s="15">
        <v>396.0</v>
      </c>
      <c r="B388" s="47" t="s">
        <v>265</v>
      </c>
      <c r="C388" s="17" t="s">
        <v>116</v>
      </c>
      <c r="D388" s="121">
        <v>2.025010043171E12</v>
      </c>
      <c r="E388" s="121">
        <v>1.224252475E10</v>
      </c>
      <c r="F388" s="114" t="s">
        <v>875</v>
      </c>
      <c r="G388" s="114" t="s">
        <v>3270</v>
      </c>
      <c r="H388" s="114" t="s">
        <v>3271</v>
      </c>
      <c r="I388" s="114" t="s">
        <v>126</v>
      </c>
      <c r="J388" s="114" t="s">
        <v>846</v>
      </c>
      <c r="K388" s="114">
        <v>123456.0</v>
      </c>
      <c r="L388" s="114">
        <v>7.65289566E9</v>
      </c>
      <c r="M388" s="114">
        <v>9.464454341E9</v>
      </c>
      <c r="N388" s="114">
        <v>7.307310154E9</v>
      </c>
      <c r="O388" s="115">
        <v>39593.0</v>
      </c>
      <c r="P388" s="114" t="s">
        <v>3272</v>
      </c>
      <c r="Q388" s="114" t="s">
        <v>3273</v>
      </c>
      <c r="R388" s="114" t="s">
        <v>3274</v>
      </c>
      <c r="S388" s="114" t="s">
        <v>136</v>
      </c>
      <c r="T388" s="114">
        <v>152023.0</v>
      </c>
      <c r="U388" s="114" t="s">
        <v>1598</v>
      </c>
      <c r="V388" s="114" t="s">
        <v>156</v>
      </c>
      <c r="W388" s="126" t="s">
        <v>141</v>
      </c>
      <c r="X388" s="114" t="s">
        <v>506</v>
      </c>
      <c r="Y388" s="114" t="s">
        <v>2780</v>
      </c>
      <c r="Z388" s="114" t="s">
        <v>80</v>
      </c>
      <c r="AA388" s="116"/>
      <c r="AB388" s="123"/>
      <c r="AC388" s="123"/>
      <c r="AD388" s="124"/>
      <c r="AE388" s="124"/>
      <c r="AF388" s="125">
        <v>6.23528599916E11</v>
      </c>
      <c r="AG388" s="109"/>
      <c r="AH388" s="109"/>
    </row>
    <row r="389">
      <c r="A389" s="15">
        <v>397.0</v>
      </c>
      <c r="B389" s="47" t="s">
        <v>265</v>
      </c>
      <c r="C389" s="17" t="s">
        <v>116</v>
      </c>
      <c r="D389" s="113">
        <v>2.025010043191E12</v>
      </c>
      <c r="E389" s="113">
        <v>1.2242524751E10</v>
      </c>
      <c r="F389" s="114" t="s">
        <v>3275</v>
      </c>
      <c r="G389" s="114" t="s">
        <v>3276</v>
      </c>
      <c r="H389" s="114" t="s">
        <v>922</v>
      </c>
      <c r="I389" s="114" t="s">
        <v>126</v>
      </c>
      <c r="J389" s="114" t="s">
        <v>924</v>
      </c>
      <c r="K389" s="114">
        <v>123456.0</v>
      </c>
      <c r="L389" s="114">
        <v>8.968426206E9</v>
      </c>
      <c r="M389" s="114">
        <v>8.847486206E9</v>
      </c>
      <c r="N389" s="114">
        <v>8.96844719E9</v>
      </c>
      <c r="O389" s="115">
        <v>39103.0</v>
      </c>
      <c r="P389" s="114" t="s">
        <v>3277</v>
      </c>
      <c r="Q389" s="114" t="s">
        <v>3278</v>
      </c>
      <c r="R389" s="114" t="s">
        <v>246</v>
      </c>
      <c r="S389" s="114" t="s">
        <v>136</v>
      </c>
      <c r="T389" s="114">
        <v>143534.0</v>
      </c>
      <c r="U389" s="114" t="s">
        <v>2064</v>
      </c>
      <c r="V389" s="114" t="s">
        <v>156</v>
      </c>
      <c r="W389" s="126" t="s">
        <v>141</v>
      </c>
      <c r="X389" s="114" t="s">
        <v>143</v>
      </c>
      <c r="Y389" s="114" t="s">
        <v>2642</v>
      </c>
      <c r="Z389" s="122"/>
      <c r="AA389" s="116"/>
      <c r="AB389" s="123"/>
      <c r="AC389" s="123"/>
      <c r="AD389" s="124"/>
      <c r="AE389" s="124"/>
      <c r="AF389" s="119">
        <v>3.5918395108E11</v>
      </c>
      <c r="AG389" s="109"/>
      <c r="AH389" s="109"/>
    </row>
    <row r="390">
      <c r="A390" s="15">
        <v>398.0</v>
      </c>
      <c r="B390" s="47" t="s">
        <v>265</v>
      </c>
      <c r="C390" s="17" t="s">
        <v>116</v>
      </c>
      <c r="D390" s="121">
        <v>2.025010043238E12</v>
      </c>
      <c r="E390" s="121">
        <v>1.2242524752E10</v>
      </c>
      <c r="F390" s="114" t="s">
        <v>3279</v>
      </c>
      <c r="G390" s="114" t="s">
        <v>3280</v>
      </c>
      <c r="H390" s="114" t="s">
        <v>3281</v>
      </c>
      <c r="I390" s="114" t="s">
        <v>126</v>
      </c>
      <c r="J390" s="114" t="s">
        <v>935</v>
      </c>
      <c r="K390" s="114">
        <v>123456.0</v>
      </c>
      <c r="L390" s="114">
        <v>8.283973533E9</v>
      </c>
      <c r="M390" s="114">
        <v>7.508973533E9</v>
      </c>
      <c r="N390" s="114">
        <v>7.508973533E9</v>
      </c>
      <c r="O390" s="115">
        <v>39422.0</v>
      </c>
      <c r="P390" s="114" t="s">
        <v>3282</v>
      </c>
      <c r="Q390" s="114" t="s">
        <v>3283</v>
      </c>
      <c r="R390" s="114" t="s">
        <v>135</v>
      </c>
      <c r="S390" s="114" t="s">
        <v>136</v>
      </c>
      <c r="T390" s="114">
        <v>143001.0</v>
      </c>
      <c r="U390" s="114" t="s">
        <v>2064</v>
      </c>
      <c r="V390" s="114" t="s">
        <v>156</v>
      </c>
      <c r="W390" s="126" t="s">
        <v>141</v>
      </c>
      <c r="X390" s="114" t="s">
        <v>3284</v>
      </c>
      <c r="Y390" s="114" t="s">
        <v>992</v>
      </c>
      <c r="Z390" s="122"/>
      <c r="AA390" s="126" t="s">
        <v>3090</v>
      </c>
      <c r="AB390" s="123"/>
      <c r="AC390" s="123"/>
      <c r="AD390" s="124"/>
      <c r="AE390" s="124"/>
      <c r="AF390" s="125">
        <v>8.05530791065E11</v>
      </c>
      <c r="AG390" s="109"/>
      <c r="AH390" s="109"/>
    </row>
    <row r="391">
      <c r="A391" s="15">
        <v>399.0</v>
      </c>
      <c r="B391" s="47" t="s">
        <v>265</v>
      </c>
      <c r="C391" s="17" t="s">
        <v>116</v>
      </c>
      <c r="D391" s="127">
        <v>2.02501004325E12</v>
      </c>
      <c r="E391" s="113">
        <v>1.2242524753E10</v>
      </c>
      <c r="F391" s="114" t="s">
        <v>3285</v>
      </c>
      <c r="G391" s="114" t="s">
        <v>3286</v>
      </c>
      <c r="H391" s="114" t="s">
        <v>3287</v>
      </c>
      <c r="I391" s="114" t="s">
        <v>126</v>
      </c>
      <c r="J391" s="114" t="s">
        <v>946</v>
      </c>
      <c r="K391" s="114">
        <v>123456.0</v>
      </c>
      <c r="L391" s="114">
        <v>9.878330999E9</v>
      </c>
      <c r="M391" s="114">
        <v>9.815341019E9</v>
      </c>
      <c r="N391" s="114">
        <v>8.054946454E9</v>
      </c>
      <c r="O391" s="115">
        <v>39553.0</v>
      </c>
      <c r="P391" s="114" t="s">
        <v>3288</v>
      </c>
      <c r="Q391" s="114" t="s">
        <v>3289</v>
      </c>
      <c r="R391" s="114" t="s">
        <v>3290</v>
      </c>
      <c r="S391" s="114" t="s">
        <v>136</v>
      </c>
      <c r="T391" s="114">
        <v>143009.0</v>
      </c>
      <c r="U391" s="114" t="s">
        <v>991</v>
      </c>
      <c r="V391" s="114" t="s">
        <v>156</v>
      </c>
      <c r="W391" s="126" t="s">
        <v>141</v>
      </c>
      <c r="X391" s="114" t="s">
        <v>229</v>
      </c>
      <c r="Y391" s="114" t="s">
        <v>992</v>
      </c>
      <c r="Z391" s="114" t="s">
        <v>80</v>
      </c>
      <c r="AA391" s="116"/>
      <c r="AB391" s="123"/>
      <c r="AC391" s="123"/>
      <c r="AD391" s="124"/>
      <c r="AE391" s="124"/>
      <c r="AF391" s="119">
        <v>8.74208134966E11</v>
      </c>
      <c r="AG391" s="109"/>
      <c r="AH391" s="109"/>
    </row>
    <row r="392">
      <c r="A392" s="15">
        <v>400.0</v>
      </c>
      <c r="B392" s="47" t="s">
        <v>265</v>
      </c>
      <c r="C392" s="17" t="s">
        <v>116</v>
      </c>
      <c r="D392" s="121">
        <v>2.025010043294E12</v>
      </c>
      <c r="E392" s="121">
        <v>1.2242524755E10</v>
      </c>
      <c r="F392" s="114" t="s">
        <v>3291</v>
      </c>
      <c r="G392" s="114" t="s">
        <v>3292</v>
      </c>
      <c r="H392" s="114" t="s">
        <v>969</v>
      </c>
      <c r="I392" s="114" t="s">
        <v>164</v>
      </c>
      <c r="J392" s="114" t="s">
        <v>970</v>
      </c>
      <c r="K392" s="114">
        <v>123456.0</v>
      </c>
      <c r="L392" s="114">
        <v>6.284098014E9</v>
      </c>
      <c r="M392" s="114">
        <v>9.888511512E9</v>
      </c>
      <c r="N392" s="114">
        <v>7.837834934E9</v>
      </c>
      <c r="O392" s="115">
        <v>38696.0</v>
      </c>
      <c r="P392" s="114" t="s">
        <v>3293</v>
      </c>
      <c r="Q392" s="114" t="s">
        <v>3294</v>
      </c>
      <c r="R392" s="114" t="s">
        <v>135</v>
      </c>
      <c r="S392" s="114" t="s">
        <v>136</v>
      </c>
      <c r="T392" s="114">
        <v>143001.0</v>
      </c>
      <c r="U392" s="114" t="s">
        <v>1598</v>
      </c>
      <c r="V392" s="114" t="s">
        <v>66</v>
      </c>
      <c r="W392" s="126" t="s">
        <v>141</v>
      </c>
      <c r="X392" s="114" t="s">
        <v>143</v>
      </c>
      <c r="Y392" s="114" t="s">
        <v>2642</v>
      </c>
      <c r="Z392" s="122"/>
      <c r="AA392" s="126" t="s">
        <v>3090</v>
      </c>
      <c r="AB392" s="123"/>
      <c r="AC392" s="123"/>
      <c r="AD392" s="124"/>
      <c r="AE392" s="124"/>
      <c r="AF392" s="125">
        <v>5.65923831787E11</v>
      </c>
      <c r="AG392" s="109"/>
      <c r="AH392" s="109"/>
    </row>
    <row r="393">
      <c r="A393" s="15">
        <v>401.0</v>
      </c>
      <c r="B393" s="47" t="s">
        <v>265</v>
      </c>
      <c r="C393" s="17" t="s">
        <v>116</v>
      </c>
      <c r="D393" s="113">
        <v>2.025010043689E12</v>
      </c>
      <c r="E393" s="113">
        <v>1.2242524756E10</v>
      </c>
      <c r="F393" s="114" t="s">
        <v>3295</v>
      </c>
      <c r="G393" s="114" t="s">
        <v>3296</v>
      </c>
      <c r="H393" s="114" t="s">
        <v>980</v>
      </c>
      <c r="I393" s="114" t="s">
        <v>126</v>
      </c>
      <c r="J393" s="114" t="s">
        <v>981</v>
      </c>
      <c r="K393" s="114">
        <v>123456.0</v>
      </c>
      <c r="L393" s="122">
        <f>+9195303551434</f>
        <v>9195303551434</v>
      </c>
      <c r="M393" s="117">
        <f>+919815839514</f>
        <v>919815839514</v>
      </c>
      <c r="N393" s="117">
        <f>+918699323818</f>
        <v>918699323818</v>
      </c>
      <c r="O393" s="115">
        <v>39014.0</v>
      </c>
      <c r="P393" s="114" t="s">
        <v>3297</v>
      </c>
      <c r="Q393" s="114" t="s">
        <v>3298</v>
      </c>
      <c r="R393" s="114" t="s">
        <v>1800</v>
      </c>
      <c r="S393" s="114" t="s">
        <v>136</v>
      </c>
      <c r="T393" s="114">
        <v>144622.0</v>
      </c>
      <c r="U393" s="114" t="s">
        <v>2064</v>
      </c>
      <c r="V393" s="114" t="s">
        <v>156</v>
      </c>
      <c r="W393" s="126" t="s">
        <v>141</v>
      </c>
      <c r="X393" s="117" t="str">
        <f>+A</f>
        <v>#NAME?</v>
      </c>
      <c r="Y393" s="114" t="s">
        <v>992</v>
      </c>
      <c r="Z393" s="122"/>
      <c r="AA393" s="116"/>
      <c r="AB393" s="123"/>
      <c r="AC393" s="123"/>
      <c r="AD393" s="124"/>
      <c r="AE393" s="124"/>
      <c r="AF393" s="119">
        <v>9.65038247838E11</v>
      </c>
      <c r="AG393" s="109"/>
      <c r="AH393" s="109"/>
    </row>
    <row r="394">
      <c r="A394" s="15">
        <v>402.0</v>
      </c>
      <c r="B394" s="47" t="s">
        <v>265</v>
      </c>
      <c r="C394" s="17" t="s">
        <v>116</v>
      </c>
      <c r="D394" s="121">
        <v>2.025010043726E12</v>
      </c>
      <c r="E394" s="121">
        <v>1.2242524757E10</v>
      </c>
      <c r="F394" s="114" t="s">
        <v>3299</v>
      </c>
      <c r="G394" s="114" t="s">
        <v>3300</v>
      </c>
      <c r="H394" s="114" t="s">
        <v>995</v>
      </c>
      <c r="I394" s="114" t="s">
        <v>126</v>
      </c>
      <c r="J394" s="114" t="s">
        <v>996</v>
      </c>
      <c r="K394" s="114">
        <v>123456.0</v>
      </c>
      <c r="L394" s="114">
        <v>9.478022002E9</v>
      </c>
      <c r="M394" s="114">
        <v>9.464306302E9</v>
      </c>
      <c r="N394" s="114">
        <v>9.478022003E9</v>
      </c>
      <c r="O394" s="115">
        <v>39042.0</v>
      </c>
      <c r="P394" s="114" t="s">
        <v>3301</v>
      </c>
      <c r="Q394" s="114" t="s">
        <v>3302</v>
      </c>
      <c r="R394" s="114" t="s">
        <v>135</v>
      </c>
      <c r="S394" s="114" t="s">
        <v>136</v>
      </c>
      <c r="T394" s="114">
        <v>143001.0</v>
      </c>
      <c r="U394" s="114" t="s">
        <v>2064</v>
      </c>
      <c r="V394" s="114" t="s">
        <v>156</v>
      </c>
      <c r="W394" s="126" t="s">
        <v>141</v>
      </c>
      <c r="X394" s="114" t="s">
        <v>208</v>
      </c>
      <c r="Y394" s="114" t="s">
        <v>2642</v>
      </c>
      <c r="Z394" s="122"/>
      <c r="AA394" s="116"/>
      <c r="AB394" s="123"/>
      <c r="AC394" s="123"/>
      <c r="AD394" s="124"/>
      <c r="AE394" s="124"/>
      <c r="AF394" s="125" t="s">
        <v>3303</v>
      </c>
      <c r="AG394" s="109"/>
      <c r="AH394" s="109"/>
    </row>
    <row r="395">
      <c r="A395" s="15">
        <v>403.0</v>
      </c>
      <c r="B395" s="47" t="s">
        <v>265</v>
      </c>
      <c r="C395" s="17" t="s">
        <v>116</v>
      </c>
      <c r="D395" s="113">
        <v>2.025010043814E12</v>
      </c>
      <c r="E395" s="113">
        <v>1.2242524758E10</v>
      </c>
      <c r="F395" s="114" t="s">
        <v>3304</v>
      </c>
      <c r="G395" s="114" t="s">
        <v>3305</v>
      </c>
      <c r="H395" s="114" t="s">
        <v>1205</v>
      </c>
      <c r="I395" s="114" t="s">
        <v>126</v>
      </c>
      <c r="J395" s="114" t="s">
        <v>1006</v>
      </c>
      <c r="K395" s="114">
        <v>123456.0</v>
      </c>
      <c r="L395" s="114">
        <v>9.815551411E9</v>
      </c>
      <c r="M395" s="114">
        <v>9.478771917E9</v>
      </c>
      <c r="N395" s="114">
        <v>7.347606199E9</v>
      </c>
      <c r="O395" s="115">
        <v>39192.0</v>
      </c>
      <c r="P395" s="114" t="s">
        <v>3306</v>
      </c>
      <c r="Q395" s="114" t="s">
        <v>3307</v>
      </c>
      <c r="R395" s="114" t="s">
        <v>135</v>
      </c>
      <c r="S395" s="114" t="s">
        <v>136</v>
      </c>
      <c r="T395" s="114">
        <v>143149.0</v>
      </c>
      <c r="U395" s="114" t="s">
        <v>1598</v>
      </c>
      <c r="V395" s="114" t="s">
        <v>3221</v>
      </c>
      <c r="W395" s="126" t="s">
        <v>141</v>
      </c>
      <c r="X395" s="114" t="s">
        <v>3308</v>
      </c>
      <c r="Y395" s="114" t="s">
        <v>3053</v>
      </c>
      <c r="Z395" s="122"/>
      <c r="AA395" s="116"/>
      <c r="AB395" s="123"/>
      <c r="AC395" s="123"/>
      <c r="AD395" s="124"/>
      <c r="AE395" s="124"/>
      <c r="AF395" s="119">
        <v>5.41668575779E11</v>
      </c>
      <c r="AG395" s="109"/>
      <c r="AH395" s="109"/>
    </row>
    <row r="396">
      <c r="A396" s="15">
        <v>404.0</v>
      </c>
      <c r="B396" s="47" t="s">
        <v>265</v>
      </c>
      <c r="C396" s="17" t="s">
        <v>116</v>
      </c>
      <c r="D396" s="121">
        <v>2.02501004391E12</v>
      </c>
      <c r="E396" s="121">
        <v>1.2242524759E10</v>
      </c>
      <c r="F396" s="114" t="s">
        <v>3309</v>
      </c>
      <c r="G396" s="114" t="s">
        <v>3310</v>
      </c>
      <c r="H396" s="114" t="s">
        <v>3311</v>
      </c>
      <c r="I396" s="114" t="s">
        <v>126</v>
      </c>
      <c r="J396" s="114" t="s">
        <v>1018</v>
      </c>
      <c r="K396" s="114">
        <v>123456.0</v>
      </c>
      <c r="L396" s="114">
        <v>7.98661827E9</v>
      </c>
      <c r="M396" s="114">
        <v>9.888615574E9</v>
      </c>
      <c r="N396" s="114">
        <v>9.780812174E9</v>
      </c>
      <c r="O396" s="115">
        <v>39342.0</v>
      </c>
      <c r="P396" s="114" t="s">
        <v>3312</v>
      </c>
      <c r="Q396" s="114" t="s">
        <v>3313</v>
      </c>
      <c r="R396" s="114" t="s">
        <v>1654</v>
      </c>
      <c r="S396" s="114" t="s">
        <v>136</v>
      </c>
      <c r="T396" s="114">
        <v>144626.0</v>
      </c>
      <c r="U396" s="114" t="s">
        <v>2843</v>
      </c>
      <c r="V396" s="114" t="s">
        <v>156</v>
      </c>
      <c r="W396" s="126" t="s">
        <v>141</v>
      </c>
      <c r="X396" s="114" t="s">
        <v>143</v>
      </c>
      <c r="Y396" s="114" t="s">
        <v>2642</v>
      </c>
      <c r="Z396" s="122"/>
      <c r="AA396" s="116"/>
      <c r="AB396" s="123"/>
      <c r="AC396" s="123"/>
      <c r="AD396" s="124"/>
      <c r="AE396" s="124"/>
      <c r="AF396" s="125">
        <v>2.29755034043E11</v>
      </c>
      <c r="AG396" s="109"/>
      <c r="AH396" s="109"/>
    </row>
    <row r="397">
      <c r="A397" s="15">
        <v>405.0</v>
      </c>
      <c r="B397" s="47" t="s">
        <v>265</v>
      </c>
      <c r="C397" s="17" t="s">
        <v>116</v>
      </c>
      <c r="D397" s="113">
        <v>2.025010043994E12</v>
      </c>
      <c r="E397" s="113">
        <v>1.224252476E10</v>
      </c>
      <c r="F397" s="114" t="s">
        <v>3314</v>
      </c>
      <c r="G397" s="114" t="s">
        <v>3315</v>
      </c>
      <c r="H397" s="114" t="s">
        <v>604</v>
      </c>
      <c r="I397" s="114" t="s">
        <v>126</v>
      </c>
      <c r="J397" s="114" t="s">
        <v>1025</v>
      </c>
      <c r="K397" s="114">
        <v>123456.0</v>
      </c>
      <c r="L397" s="114">
        <v>9.872783646E9</v>
      </c>
      <c r="M397" s="114">
        <v>7.528873885E9</v>
      </c>
      <c r="N397" s="114">
        <v>9.872783645E9</v>
      </c>
      <c r="O397" s="115">
        <v>39241.0</v>
      </c>
      <c r="P397" s="114" t="s">
        <v>3316</v>
      </c>
      <c r="Q397" s="114" t="s">
        <v>3317</v>
      </c>
      <c r="R397" s="114" t="s">
        <v>437</v>
      </c>
      <c r="S397" s="114" t="s">
        <v>136</v>
      </c>
      <c r="T397" s="114">
        <v>143411.0</v>
      </c>
      <c r="U397" s="114" t="s">
        <v>991</v>
      </c>
      <c r="V397" s="114" t="s">
        <v>156</v>
      </c>
      <c r="W397" s="126" t="s">
        <v>141</v>
      </c>
      <c r="X397" s="114" t="s">
        <v>208</v>
      </c>
      <c r="Y397" s="114" t="s">
        <v>992</v>
      </c>
      <c r="Z397" s="114" t="s">
        <v>80</v>
      </c>
      <c r="AA397" s="116"/>
      <c r="AB397" s="123"/>
      <c r="AC397" s="123"/>
      <c r="AD397" s="124"/>
      <c r="AE397" s="124"/>
      <c r="AF397" s="119">
        <v>2.88598606836E11</v>
      </c>
      <c r="AG397" s="109"/>
      <c r="AH397" s="109"/>
    </row>
    <row r="398">
      <c r="A398" s="15">
        <v>406.0</v>
      </c>
      <c r="B398" s="47" t="s">
        <v>265</v>
      </c>
      <c r="C398" s="17" t="s">
        <v>116</v>
      </c>
      <c r="D398" s="121">
        <v>2.025010043995E12</v>
      </c>
      <c r="E398" s="121">
        <v>1.2242524761E10</v>
      </c>
      <c r="F398" s="114" t="s">
        <v>3318</v>
      </c>
      <c r="G398" s="114" t="s">
        <v>3319</v>
      </c>
      <c r="H398" s="114" t="s">
        <v>3320</v>
      </c>
      <c r="I398" s="114" t="s">
        <v>126</v>
      </c>
      <c r="J398" s="114" t="s">
        <v>1035</v>
      </c>
      <c r="K398" s="114">
        <v>123456.0</v>
      </c>
      <c r="L398" s="114">
        <v>7.814117207E9</v>
      </c>
      <c r="M398" s="114">
        <v>9.780955938E9</v>
      </c>
      <c r="N398" s="114">
        <v>7.087055938E9</v>
      </c>
      <c r="O398" s="115">
        <v>38710.0</v>
      </c>
      <c r="P398" s="114" t="s">
        <v>3321</v>
      </c>
      <c r="Q398" s="114" t="s">
        <v>3322</v>
      </c>
      <c r="R398" s="114" t="s">
        <v>135</v>
      </c>
      <c r="S398" s="114" t="s">
        <v>747</v>
      </c>
      <c r="T398" s="114">
        <v>143001.0</v>
      </c>
      <c r="U398" s="114" t="s">
        <v>2843</v>
      </c>
      <c r="V398" s="114" t="s">
        <v>3221</v>
      </c>
      <c r="W398" s="126" t="s">
        <v>141</v>
      </c>
      <c r="X398" s="114" t="s">
        <v>208</v>
      </c>
      <c r="Y398" s="114" t="s">
        <v>3323</v>
      </c>
      <c r="Z398" s="122"/>
      <c r="AA398" s="126" t="s">
        <v>3059</v>
      </c>
      <c r="AB398" s="123"/>
      <c r="AC398" s="123"/>
      <c r="AD398" s="124"/>
      <c r="AE398" s="124"/>
      <c r="AF398" s="125">
        <v>6.34544778064E11</v>
      </c>
      <c r="AG398" s="109"/>
      <c r="AH398" s="109"/>
    </row>
    <row r="399">
      <c r="A399" s="15">
        <v>407.0</v>
      </c>
      <c r="B399" s="47" t="s">
        <v>265</v>
      </c>
      <c r="C399" s="17" t="s">
        <v>116</v>
      </c>
      <c r="D399" s="113">
        <v>2.025010044059E12</v>
      </c>
      <c r="E399" s="113">
        <v>1.2242524762E10</v>
      </c>
      <c r="F399" s="114" t="s">
        <v>3324</v>
      </c>
      <c r="G399" s="114" t="s">
        <v>3325</v>
      </c>
      <c r="H399" s="114" t="s">
        <v>1044</v>
      </c>
      <c r="I399" s="114" t="s">
        <v>164</v>
      </c>
      <c r="J399" s="114" t="s">
        <v>1046</v>
      </c>
      <c r="K399" s="114">
        <v>123456.0</v>
      </c>
      <c r="L399" s="114">
        <v>7.696463164E9</v>
      </c>
      <c r="M399" s="114">
        <v>9.85536881E9</v>
      </c>
      <c r="N399" s="114">
        <v>8.288060056E9</v>
      </c>
      <c r="O399" s="115">
        <v>39089.0</v>
      </c>
      <c r="P399" s="114" t="s">
        <v>3326</v>
      </c>
      <c r="Q399" s="114" t="s">
        <v>3327</v>
      </c>
      <c r="R399" s="114" t="s">
        <v>135</v>
      </c>
      <c r="S399" s="114" t="s">
        <v>136</v>
      </c>
      <c r="T399" s="114">
        <v>143202.0</v>
      </c>
      <c r="U399" s="114" t="s">
        <v>2064</v>
      </c>
      <c r="V399" s="114" t="s">
        <v>66</v>
      </c>
      <c r="W399" s="126" t="s">
        <v>141</v>
      </c>
      <c r="X399" s="114" t="s">
        <v>3328</v>
      </c>
      <c r="Y399" s="114" t="s">
        <v>992</v>
      </c>
      <c r="Z399" s="122"/>
      <c r="AA399" s="116"/>
      <c r="AB399" s="123"/>
      <c r="AC399" s="123"/>
      <c r="AD399" s="124"/>
      <c r="AE399" s="124"/>
      <c r="AF399" s="119">
        <v>7.48251532543E11</v>
      </c>
      <c r="AG399" s="109"/>
      <c r="AH399" s="109"/>
    </row>
    <row r="400">
      <c r="A400" s="15">
        <v>408.0</v>
      </c>
      <c r="B400" s="47" t="s">
        <v>265</v>
      </c>
      <c r="C400" s="17" t="s">
        <v>116</v>
      </c>
      <c r="D400" s="121">
        <v>2.02501004409E12</v>
      </c>
      <c r="E400" s="121">
        <v>1.2242524763E10</v>
      </c>
      <c r="F400" s="114" t="s">
        <v>3329</v>
      </c>
      <c r="G400" s="114" t="s">
        <v>3330</v>
      </c>
      <c r="H400" s="114" t="s">
        <v>1341</v>
      </c>
      <c r="I400" s="114" t="s">
        <v>126</v>
      </c>
      <c r="J400" s="114" t="s">
        <v>1058</v>
      </c>
      <c r="K400" s="114">
        <v>123456.0</v>
      </c>
      <c r="L400" s="114">
        <v>8.968110968E9</v>
      </c>
      <c r="M400" s="114">
        <v>9.872610968E9</v>
      </c>
      <c r="N400" s="114">
        <v>9.814743408E9</v>
      </c>
      <c r="O400" s="115">
        <v>39173.0</v>
      </c>
      <c r="P400" s="114" t="s">
        <v>3331</v>
      </c>
      <c r="Q400" s="114" t="s">
        <v>3332</v>
      </c>
      <c r="R400" s="114" t="s">
        <v>2304</v>
      </c>
      <c r="S400" s="114" t="s">
        <v>136</v>
      </c>
      <c r="T400" s="114">
        <v>143112.0</v>
      </c>
      <c r="U400" s="114" t="s">
        <v>1598</v>
      </c>
      <c r="V400" s="114" t="s">
        <v>156</v>
      </c>
      <c r="W400" s="126" t="s">
        <v>141</v>
      </c>
      <c r="X400" s="114" t="s">
        <v>3333</v>
      </c>
      <c r="Y400" s="114" t="s">
        <v>992</v>
      </c>
      <c r="Z400" s="114" t="s">
        <v>80</v>
      </c>
      <c r="AA400" s="116"/>
      <c r="AB400" s="123"/>
      <c r="AC400" s="123"/>
      <c r="AD400" s="124"/>
      <c r="AE400" s="124"/>
      <c r="AF400" s="125">
        <v>5.59290371209E11</v>
      </c>
      <c r="AG400" s="109"/>
      <c r="AH400" s="109"/>
    </row>
    <row r="401">
      <c r="A401" s="15">
        <v>409.0</v>
      </c>
      <c r="B401" s="47" t="s">
        <v>265</v>
      </c>
      <c r="C401" s="17" t="s">
        <v>116</v>
      </c>
      <c r="D401" s="113">
        <v>2.025010044166E12</v>
      </c>
      <c r="E401" s="113">
        <v>1.2242524764E10</v>
      </c>
      <c r="F401" s="114" t="s">
        <v>3334</v>
      </c>
      <c r="G401" s="114" t="s">
        <v>3335</v>
      </c>
      <c r="H401" s="114" t="s">
        <v>1067</v>
      </c>
      <c r="I401" s="114" t="s">
        <v>126</v>
      </c>
      <c r="J401" s="114" t="s">
        <v>1068</v>
      </c>
      <c r="K401" s="114">
        <v>123456.0</v>
      </c>
      <c r="L401" s="114">
        <v>6.280040175E9</v>
      </c>
      <c r="M401" s="114">
        <v>9.876884595E9</v>
      </c>
      <c r="N401" s="114">
        <v>8.968429714E9</v>
      </c>
      <c r="O401" s="115">
        <v>39326.0</v>
      </c>
      <c r="P401" s="114" t="s">
        <v>3336</v>
      </c>
      <c r="Q401" s="114" t="s">
        <v>3337</v>
      </c>
      <c r="R401" s="114" t="s">
        <v>437</v>
      </c>
      <c r="S401" s="114" t="s">
        <v>136</v>
      </c>
      <c r="T401" s="114">
        <v>143401.0</v>
      </c>
      <c r="U401" s="114" t="s">
        <v>991</v>
      </c>
      <c r="V401" s="114" t="s">
        <v>156</v>
      </c>
      <c r="W401" s="126" t="s">
        <v>141</v>
      </c>
      <c r="X401" s="114" t="s">
        <v>3338</v>
      </c>
      <c r="Y401" s="114" t="s">
        <v>2780</v>
      </c>
      <c r="Z401" s="114" t="s">
        <v>80</v>
      </c>
      <c r="AA401" s="116"/>
      <c r="AB401" s="123"/>
      <c r="AC401" s="123"/>
      <c r="AD401" s="124"/>
      <c r="AE401" s="124"/>
      <c r="AF401" s="119">
        <v>2.63439531335E11</v>
      </c>
      <c r="AG401" s="109"/>
      <c r="AH401" s="109"/>
    </row>
    <row r="402">
      <c r="A402" s="15">
        <v>410.0</v>
      </c>
      <c r="B402" s="47" t="s">
        <v>265</v>
      </c>
      <c r="C402" s="17" t="s">
        <v>116</v>
      </c>
      <c r="D402" s="121">
        <v>2.025010044556E12</v>
      </c>
      <c r="E402" s="121">
        <v>1.2242524766E10</v>
      </c>
      <c r="F402" s="114" t="s">
        <v>3339</v>
      </c>
      <c r="G402" s="114" t="s">
        <v>3340</v>
      </c>
      <c r="H402" s="114" t="s">
        <v>1086</v>
      </c>
      <c r="I402" s="114" t="s">
        <v>126</v>
      </c>
      <c r="J402" s="114" t="s">
        <v>1088</v>
      </c>
      <c r="K402" s="114">
        <v>123456.0</v>
      </c>
      <c r="L402" s="114">
        <v>8.84739519E9</v>
      </c>
      <c r="M402" s="114">
        <v>7.98613094E9</v>
      </c>
      <c r="N402" s="114">
        <v>8.69990064E9</v>
      </c>
      <c r="O402" s="115">
        <v>39655.0</v>
      </c>
      <c r="P402" s="114" t="s">
        <v>3341</v>
      </c>
      <c r="Q402" s="114" t="s">
        <v>3342</v>
      </c>
      <c r="R402" s="114" t="s">
        <v>135</v>
      </c>
      <c r="S402" s="114" t="s">
        <v>136</v>
      </c>
      <c r="T402" s="114">
        <v>143001.0</v>
      </c>
      <c r="U402" s="114" t="s">
        <v>321</v>
      </c>
      <c r="V402" s="114" t="s">
        <v>156</v>
      </c>
      <c r="W402" s="126" t="s">
        <v>141</v>
      </c>
      <c r="X402" s="114" t="s">
        <v>793</v>
      </c>
      <c r="Y402" s="114" t="s">
        <v>992</v>
      </c>
      <c r="Z402" s="122"/>
      <c r="AA402" s="116"/>
      <c r="AB402" s="123"/>
      <c r="AC402" s="123"/>
      <c r="AD402" s="124"/>
      <c r="AE402" s="124"/>
      <c r="AF402" s="125">
        <v>6.8416475596E11</v>
      </c>
      <c r="AG402" s="109"/>
      <c r="AH402" s="109"/>
    </row>
    <row r="403">
      <c r="A403" s="15">
        <v>411.0</v>
      </c>
      <c r="B403" s="47" t="s">
        <v>265</v>
      </c>
      <c r="C403" s="17" t="s">
        <v>116</v>
      </c>
      <c r="D403" s="113">
        <v>2.02501004458E12</v>
      </c>
      <c r="E403" s="113">
        <v>1.2242524767E10</v>
      </c>
      <c r="F403" s="114" t="s">
        <v>3343</v>
      </c>
      <c r="G403" s="114" t="s">
        <v>3344</v>
      </c>
      <c r="H403" s="114" t="s">
        <v>549</v>
      </c>
      <c r="I403" s="114" t="s">
        <v>164</v>
      </c>
      <c r="J403" s="114" t="s">
        <v>1095</v>
      </c>
      <c r="K403" s="114">
        <v>123456.0</v>
      </c>
      <c r="L403" s="114">
        <v>8.727834977E9</v>
      </c>
      <c r="M403" s="114">
        <v>9.914534977E9</v>
      </c>
      <c r="N403" s="114">
        <v>7.710680953E9</v>
      </c>
      <c r="O403" s="115">
        <v>39255.0</v>
      </c>
      <c r="P403" s="114" t="s">
        <v>3345</v>
      </c>
      <c r="Q403" s="114" t="s">
        <v>3346</v>
      </c>
      <c r="R403" s="114" t="s">
        <v>3058</v>
      </c>
      <c r="S403" s="114" t="s">
        <v>136</v>
      </c>
      <c r="T403" s="114">
        <v>143303.0</v>
      </c>
      <c r="U403" s="114" t="s">
        <v>1598</v>
      </c>
      <c r="V403" s="114" t="s">
        <v>66</v>
      </c>
      <c r="W403" s="126" t="s">
        <v>141</v>
      </c>
      <c r="X403" s="114" t="s">
        <v>208</v>
      </c>
      <c r="Y403" s="114" t="s">
        <v>992</v>
      </c>
      <c r="Z403" s="114" t="s">
        <v>80</v>
      </c>
      <c r="AA403" s="116"/>
      <c r="AB403" s="123"/>
      <c r="AC403" s="123"/>
      <c r="AD403" s="124"/>
      <c r="AE403" s="124"/>
      <c r="AF403" s="119">
        <v>6.67355555371E11</v>
      </c>
      <c r="AG403" s="109"/>
      <c r="AH403" s="109"/>
    </row>
    <row r="404">
      <c r="A404" s="15">
        <v>412.0</v>
      </c>
      <c r="B404" s="47" t="s">
        <v>265</v>
      </c>
      <c r="C404" s="17" t="s">
        <v>116</v>
      </c>
      <c r="D404" s="121">
        <v>2.025010044619E12</v>
      </c>
      <c r="E404" s="121">
        <v>1.2242524768E10</v>
      </c>
      <c r="F404" s="114" t="s">
        <v>3347</v>
      </c>
      <c r="G404" s="114" t="s">
        <v>3348</v>
      </c>
      <c r="H404" s="114" t="s">
        <v>3349</v>
      </c>
      <c r="I404" s="114" t="s">
        <v>126</v>
      </c>
      <c r="J404" s="114" t="s">
        <v>3350</v>
      </c>
      <c r="K404" s="114">
        <v>123456.0</v>
      </c>
      <c r="L404" s="114">
        <v>6.28340222E9</v>
      </c>
      <c r="M404" s="114" t="s">
        <v>3351</v>
      </c>
      <c r="N404" s="114">
        <v>7.087258666E9</v>
      </c>
      <c r="O404" s="115">
        <v>39020.0</v>
      </c>
      <c r="P404" s="114" t="s">
        <v>3352</v>
      </c>
      <c r="Q404" s="114" t="s">
        <v>3353</v>
      </c>
      <c r="R404" s="114" t="s">
        <v>3354</v>
      </c>
      <c r="S404" s="114" t="s">
        <v>136</v>
      </c>
      <c r="T404" s="114">
        <v>143115.0</v>
      </c>
      <c r="U404" s="114" t="s">
        <v>2064</v>
      </c>
      <c r="V404" s="114" t="s">
        <v>156</v>
      </c>
      <c r="W404" s="126" t="s">
        <v>141</v>
      </c>
      <c r="X404" s="114" t="s">
        <v>2129</v>
      </c>
      <c r="Y404" s="114" t="s">
        <v>992</v>
      </c>
      <c r="Z404" s="122"/>
      <c r="AA404" s="116"/>
      <c r="AB404" s="123"/>
      <c r="AC404" s="123"/>
      <c r="AD404" s="124"/>
      <c r="AE404" s="124"/>
      <c r="AF404" s="125">
        <v>6.89804362472E11</v>
      </c>
      <c r="AG404" s="109"/>
      <c r="AH404" s="109"/>
    </row>
    <row r="405">
      <c r="A405" s="15">
        <v>413.0</v>
      </c>
      <c r="B405" s="47" t="s">
        <v>265</v>
      </c>
      <c r="C405" s="17" t="s">
        <v>116</v>
      </c>
      <c r="D405" s="113">
        <v>2.025010044622E12</v>
      </c>
      <c r="E405" s="113">
        <v>1.2242524769E10</v>
      </c>
      <c r="F405" s="114" t="s">
        <v>3355</v>
      </c>
      <c r="G405" s="114" t="s">
        <v>3356</v>
      </c>
      <c r="H405" s="114" t="s">
        <v>3357</v>
      </c>
      <c r="I405" s="114" t="s">
        <v>164</v>
      </c>
      <c r="J405" s="114" t="s">
        <v>1105</v>
      </c>
      <c r="K405" s="114">
        <v>123456.0</v>
      </c>
      <c r="L405" s="114">
        <v>9.592662236E9</v>
      </c>
      <c r="M405" s="114">
        <v>9.855893194E9</v>
      </c>
      <c r="N405" s="114">
        <v>9.81481389E9</v>
      </c>
      <c r="O405" s="115">
        <v>39254.0</v>
      </c>
      <c r="P405" s="114" t="s">
        <v>3358</v>
      </c>
      <c r="Q405" s="114" t="s">
        <v>3359</v>
      </c>
      <c r="R405" s="114" t="s">
        <v>646</v>
      </c>
      <c r="S405" s="114" t="s">
        <v>136</v>
      </c>
      <c r="T405" s="114">
        <v>143505.0</v>
      </c>
      <c r="U405" s="114" t="s">
        <v>2064</v>
      </c>
      <c r="V405" s="114" t="s">
        <v>66</v>
      </c>
      <c r="W405" s="126" t="s">
        <v>141</v>
      </c>
      <c r="X405" s="114" t="s">
        <v>143</v>
      </c>
      <c r="Y405" s="114" t="s">
        <v>144</v>
      </c>
      <c r="Z405" s="122"/>
      <c r="AA405" s="126" t="s">
        <v>3059</v>
      </c>
      <c r="AB405" s="123"/>
      <c r="AC405" s="123"/>
      <c r="AD405" s="124"/>
      <c r="AE405" s="124"/>
      <c r="AF405" s="119">
        <v>5.62935018826E11</v>
      </c>
      <c r="AG405" s="109"/>
      <c r="AH405" s="109"/>
    </row>
    <row r="406">
      <c r="A406" s="15">
        <v>414.0</v>
      </c>
      <c r="B406" s="47" t="s">
        <v>265</v>
      </c>
      <c r="C406" s="17" t="s">
        <v>116</v>
      </c>
      <c r="D406" s="121">
        <v>2.025010044664E12</v>
      </c>
      <c r="E406" s="121">
        <v>1.224252477E10</v>
      </c>
      <c r="F406" s="114" t="s">
        <v>3360</v>
      </c>
      <c r="G406" s="114" t="s">
        <v>3361</v>
      </c>
      <c r="H406" s="114" t="s">
        <v>491</v>
      </c>
      <c r="I406" s="114" t="s">
        <v>126</v>
      </c>
      <c r="J406" s="114" t="s">
        <v>1115</v>
      </c>
      <c r="K406" s="114">
        <v>123456.0</v>
      </c>
      <c r="L406" s="114">
        <v>7.986415583E9</v>
      </c>
      <c r="M406" s="114">
        <v>8.699868148E9</v>
      </c>
      <c r="N406" s="114">
        <v>9.878881406E9</v>
      </c>
      <c r="O406" s="115">
        <v>38441.0</v>
      </c>
      <c r="P406" s="114" t="s">
        <v>3362</v>
      </c>
      <c r="Q406" s="114" t="s">
        <v>3363</v>
      </c>
      <c r="R406" s="114" t="s">
        <v>135</v>
      </c>
      <c r="S406" s="114" t="s">
        <v>136</v>
      </c>
      <c r="T406" s="114">
        <v>143202.0</v>
      </c>
      <c r="U406" s="114" t="s">
        <v>2064</v>
      </c>
      <c r="V406" s="114" t="s">
        <v>156</v>
      </c>
      <c r="W406" s="126" t="s">
        <v>141</v>
      </c>
      <c r="X406" s="114" t="s">
        <v>208</v>
      </c>
      <c r="Y406" s="114" t="s">
        <v>992</v>
      </c>
      <c r="Z406" s="122"/>
      <c r="AA406" s="116"/>
      <c r="AB406" s="123"/>
      <c r="AC406" s="123"/>
      <c r="AD406" s="124"/>
      <c r="AE406" s="124"/>
      <c r="AF406" s="125">
        <v>3.92338773315E11</v>
      </c>
      <c r="AG406" s="109"/>
      <c r="AH406" s="109"/>
    </row>
    <row r="407">
      <c r="A407" s="15">
        <v>415.0</v>
      </c>
      <c r="B407" s="47" t="s">
        <v>265</v>
      </c>
      <c r="C407" s="17" t="s">
        <v>116</v>
      </c>
      <c r="D407" s="113">
        <v>2.025010044866E12</v>
      </c>
      <c r="E407" s="113">
        <v>1.2242524772E10</v>
      </c>
      <c r="F407" s="114" t="s">
        <v>3364</v>
      </c>
      <c r="G407" s="114" t="s">
        <v>3365</v>
      </c>
      <c r="H407" s="114" t="s">
        <v>1133</v>
      </c>
      <c r="I407" s="114" t="s">
        <v>126</v>
      </c>
      <c r="J407" s="114" t="s">
        <v>3366</v>
      </c>
      <c r="K407" s="114">
        <v>123456.0</v>
      </c>
      <c r="L407" s="114">
        <v>6.239951169E9</v>
      </c>
      <c r="M407" s="114">
        <v>7.652804148E9</v>
      </c>
      <c r="N407" s="114">
        <v>7.527902584E9</v>
      </c>
      <c r="O407" s="115">
        <v>39023.0</v>
      </c>
      <c r="P407" s="114" t="s">
        <v>3367</v>
      </c>
      <c r="Q407" s="114" t="s">
        <v>3368</v>
      </c>
      <c r="R407" s="114" t="s">
        <v>246</v>
      </c>
      <c r="S407" s="114" t="s">
        <v>136</v>
      </c>
      <c r="T407" s="114">
        <v>145001.0</v>
      </c>
      <c r="U407" s="114" t="s">
        <v>2064</v>
      </c>
      <c r="V407" s="114" t="s">
        <v>156</v>
      </c>
      <c r="W407" s="126" t="s">
        <v>141</v>
      </c>
      <c r="X407" s="114" t="s">
        <v>2129</v>
      </c>
      <c r="Y407" s="114" t="s">
        <v>2642</v>
      </c>
      <c r="Z407" s="122"/>
      <c r="AA407" s="116"/>
      <c r="AB407" s="123"/>
      <c r="AC407" s="123"/>
      <c r="AD407" s="124"/>
      <c r="AE407" s="124"/>
      <c r="AF407" s="119">
        <v>3.202606193E11</v>
      </c>
      <c r="AG407" s="109"/>
      <c r="AH407" s="109"/>
    </row>
    <row r="408">
      <c r="A408" s="15">
        <v>416.0</v>
      </c>
      <c r="B408" s="47" t="s">
        <v>265</v>
      </c>
      <c r="C408" s="17" t="s">
        <v>116</v>
      </c>
      <c r="D408" s="128">
        <v>2.024010093131E12</v>
      </c>
      <c r="E408" s="128">
        <v>1.1242424773E10</v>
      </c>
      <c r="F408" s="129" t="s">
        <v>1036</v>
      </c>
      <c r="G408" s="129" t="s">
        <v>1037</v>
      </c>
      <c r="H408" s="129" t="s">
        <v>1193</v>
      </c>
      <c r="I408" s="129" t="s">
        <v>126</v>
      </c>
      <c r="J408" s="129" t="s">
        <v>1039</v>
      </c>
      <c r="K408" s="130">
        <v>123456.0</v>
      </c>
      <c r="L408" s="130">
        <v>9.780345979E9</v>
      </c>
      <c r="M408" s="130">
        <v>7.97376514E9</v>
      </c>
      <c r="N408" s="130">
        <v>7.973200654E9</v>
      </c>
      <c r="O408" s="131">
        <v>38980.0</v>
      </c>
      <c r="P408" s="129" t="s">
        <v>1041</v>
      </c>
      <c r="Q408" s="129" t="s">
        <v>1042</v>
      </c>
      <c r="R408" s="129" t="s">
        <v>135</v>
      </c>
      <c r="S408" s="129" t="s">
        <v>136</v>
      </c>
      <c r="T408" s="130">
        <v>143001.0</v>
      </c>
      <c r="U408" s="129" t="s">
        <v>2064</v>
      </c>
      <c r="V408" s="129" t="s">
        <v>156</v>
      </c>
      <c r="W408" s="126" t="s">
        <v>141</v>
      </c>
      <c r="X408" s="129" t="s">
        <v>159</v>
      </c>
      <c r="Y408" s="129" t="s">
        <v>992</v>
      </c>
      <c r="Z408" s="122"/>
      <c r="AA408" s="116"/>
      <c r="AB408" s="123"/>
      <c r="AC408" s="123"/>
      <c r="AD408" s="124"/>
      <c r="AE408" s="124"/>
      <c r="AF408" s="132"/>
      <c r="AG408" s="109"/>
      <c r="AH408" s="109"/>
    </row>
    <row r="409">
      <c r="A409" s="15">
        <v>417.0</v>
      </c>
      <c r="B409" s="47" t="s">
        <v>265</v>
      </c>
      <c r="C409" s="17" t="s">
        <v>116</v>
      </c>
      <c r="D409" s="113">
        <v>2.025010044896E12</v>
      </c>
      <c r="E409" s="113">
        <v>1.2242524774E10</v>
      </c>
      <c r="F409" s="114" t="s">
        <v>3369</v>
      </c>
      <c r="G409" s="114" t="s">
        <v>3370</v>
      </c>
      <c r="H409" s="114" t="s">
        <v>549</v>
      </c>
      <c r="I409" s="114" t="s">
        <v>126</v>
      </c>
      <c r="J409" s="114" t="s">
        <v>3371</v>
      </c>
      <c r="K409" s="114">
        <v>123456.0</v>
      </c>
      <c r="L409" s="114">
        <v>7.889045052E9</v>
      </c>
      <c r="M409" s="114">
        <v>6.284627631E9</v>
      </c>
      <c r="N409" s="114">
        <v>9.781896845E9</v>
      </c>
      <c r="O409" s="115">
        <v>38885.0</v>
      </c>
      <c r="P409" s="114" t="s">
        <v>3372</v>
      </c>
      <c r="Q409" s="114" t="s">
        <v>3373</v>
      </c>
      <c r="R409" s="114" t="s">
        <v>135</v>
      </c>
      <c r="S409" s="114" t="s">
        <v>136</v>
      </c>
      <c r="T409" s="114">
        <v>143001.0</v>
      </c>
      <c r="U409" s="114" t="s">
        <v>2064</v>
      </c>
      <c r="V409" s="114" t="s">
        <v>156</v>
      </c>
      <c r="W409" s="126" t="s">
        <v>141</v>
      </c>
      <c r="X409" s="114" t="s">
        <v>143</v>
      </c>
      <c r="Y409" s="114" t="s">
        <v>992</v>
      </c>
      <c r="Z409" s="122"/>
      <c r="AA409" s="116"/>
      <c r="AB409" s="123"/>
      <c r="AC409" s="123"/>
      <c r="AD409" s="124"/>
      <c r="AE409" s="124"/>
      <c r="AF409" s="119">
        <v>4.30394109565E11</v>
      </c>
      <c r="AG409" s="109"/>
      <c r="AH409" s="109"/>
    </row>
    <row r="410">
      <c r="A410" s="15">
        <v>418.0</v>
      </c>
      <c r="B410" s="47" t="s">
        <v>265</v>
      </c>
      <c r="C410" s="17" t="s">
        <v>116</v>
      </c>
      <c r="D410" s="121">
        <v>2.025010044908E12</v>
      </c>
      <c r="E410" s="121">
        <v>1.2242524775E10</v>
      </c>
      <c r="F410" s="114" t="s">
        <v>3374</v>
      </c>
      <c r="G410" s="114" t="s">
        <v>3375</v>
      </c>
      <c r="H410" s="114" t="s">
        <v>3054</v>
      </c>
      <c r="I410" s="114" t="s">
        <v>164</v>
      </c>
      <c r="J410" s="114" t="s">
        <v>1162</v>
      </c>
      <c r="K410" s="114">
        <v>123456.0</v>
      </c>
      <c r="L410" s="114">
        <v>9.779862371E9</v>
      </c>
      <c r="M410" s="114">
        <v>9.592091095E9</v>
      </c>
      <c r="N410" s="114">
        <v>9.592091094E9</v>
      </c>
      <c r="O410" s="115">
        <v>39375.0</v>
      </c>
      <c r="P410" s="114" t="s">
        <v>3376</v>
      </c>
      <c r="Q410" s="114" t="s">
        <v>3377</v>
      </c>
      <c r="R410" s="114" t="s">
        <v>437</v>
      </c>
      <c r="S410" s="114" t="s">
        <v>136</v>
      </c>
      <c r="T410" s="114">
        <v>143401.0</v>
      </c>
      <c r="U410" s="114" t="s">
        <v>2064</v>
      </c>
      <c r="V410" s="114" t="s">
        <v>66</v>
      </c>
      <c r="W410" s="126" t="s">
        <v>141</v>
      </c>
      <c r="X410" s="114" t="s">
        <v>793</v>
      </c>
      <c r="Y410" s="114" t="s">
        <v>992</v>
      </c>
      <c r="Z410" s="122"/>
      <c r="AA410" s="116"/>
      <c r="AB410" s="123"/>
      <c r="AC410" s="123"/>
      <c r="AD410" s="124"/>
      <c r="AE410" s="124"/>
      <c r="AF410" s="125">
        <v>6.65030412434E11</v>
      </c>
      <c r="AG410" s="109"/>
      <c r="AH410" s="109"/>
    </row>
    <row r="411">
      <c r="A411" s="15">
        <v>419.0</v>
      </c>
      <c r="B411" s="47" t="s">
        <v>265</v>
      </c>
      <c r="C411" s="17" t="s">
        <v>116</v>
      </c>
      <c r="D411" s="113">
        <v>2.025010044924E12</v>
      </c>
      <c r="E411" s="113">
        <v>1.2242524776E10</v>
      </c>
      <c r="F411" s="114" t="s">
        <v>3261</v>
      </c>
      <c r="G411" s="114" t="s">
        <v>3378</v>
      </c>
      <c r="H411" s="114" t="s">
        <v>3379</v>
      </c>
      <c r="I411" s="114" t="s">
        <v>126</v>
      </c>
      <c r="J411" s="114" t="s">
        <v>1170</v>
      </c>
      <c r="K411" s="114">
        <v>123456.0</v>
      </c>
      <c r="L411" s="114">
        <v>9.779181491E9</v>
      </c>
      <c r="M411" s="114">
        <v>7.652866526E9</v>
      </c>
      <c r="N411" s="114">
        <v>6.284533633E9</v>
      </c>
      <c r="O411" s="115">
        <v>39488.0</v>
      </c>
      <c r="P411" s="114" t="s">
        <v>3380</v>
      </c>
      <c r="Q411" s="114" t="s">
        <v>3381</v>
      </c>
      <c r="R411" s="114" t="s">
        <v>135</v>
      </c>
      <c r="S411" s="114" t="s">
        <v>136</v>
      </c>
      <c r="T411" s="114">
        <v>143102.0</v>
      </c>
      <c r="U411" s="114" t="s">
        <v>2064</v>
      </c>
      <c r="V411" s="114" t="s">
        <v>156</v>
      </c>
      <c r="W411" s="126" t="s">
        <v>141</v>
      </c>
      <c r="X411" s="114" t="s">
        <v>229</v>
      </c>
      <c r="Y411" s="114" t="s">
        <v>992</v>
      </c>
      <c r="Z411" s="122"/>
      <c r="AA411" s="116"/>
      <c r="AB411" s="123"/>
      <c r="AC411" s="123"/>
      <c r="AD411" s="124"/>
      <c r="AE411" s="124"/>
      <c r="AF411" s="119">
        <v>5.68015578236E11</v>
      </c>
      <c r="AG411" s="109"/>
      <c r="AH411" s="109"/>
    </row>
    <row r="412">
      <c r="A412" s="15">
        <v>420.0</v>
      </c>
      <c r="B412" s="47" t="s">
        <v>265</v>
      </c>
      <c r="C412" s="17" t="s">
        <v>116</v>
      </c>
      <c r="D412" s="121">
        <v>2.025010044936E12</v>
      </c>
      <c r="E412" s="121">
        <v>1.2242524777E10</v>
      </c>
      <c r="F412" s="114" t="s">
        <v>3382</v>
      </c>
      <c r="G412" s="114" t="s">
        <v>3383</v>
      </c>
      <c r="H412" s="114" t="s">
        <v>1410</v>
      </c>
      <c r="I412" s="114" t="s">
        <v>126</v>
      </c>
      <c r="J412" s="114" t="s">
        <v>3384</v>
      </c>
      <c r="K412" s="114">
        <v>123456.0</v>
      </c>
      <c r="L412" s="114">
        <v>9.914159234E9</v>
      </c>
      <c r="M412" s="114">
        <v>9.914398998E9</v>
      </c>
      <c r="N412" s="114">
        <v>9.914059234E9</v>
      </c>
      <c r="O412" s="115">
        <v>39426.0</v>
      </c>
      <c r="P412" s="114" t="s">
        <v>3385</v>
      </c>
      <c r="Q412" s="114" t="s">
        <v>3386</v>
      </c>
      <c r="R412" s="114" t="s">
        <v>437</v>
      </c>
      <c r="S412" s="114" t="s">
        <v>136</v>
      </c>
      <c r="T412" s="114">
        <v>143112.0</v>
      </c>
      <c r="U412" s="114" t="s">
        <v>2064</v>
      </c>
      <c r="V412" s="114" t="s">
        <v>156</v>
      </c>
      <c r="W412" s="126" t="s">
        <v>141</v>
      </c>
      <c r="X412" s="114" t="s">
        <v>143</v>
      </c>
      <c r="Y412" s="114" t="s">
        <v>2780</v>
      </c>
      <c r="Z412" s="122"/>
      <c r="AA412" s="126" t="s">
        <v>3059</v>
      </c>
      <c r="AB412" s="123"/>
      <c r="AC412" s="123"/>
      <c r="AD412" s="124"/>
      <c r="AE412" s="124"/>
      <c r="AF412" s="125">
        <v>8.96223083677E11</v>
      </c>
      <c r="AG412" s="109"/>
      <c r="AH412" s="109"/>
    </row>
    <row r="413">
      <c r="A413" s="15">
        <v>421.0</v>
      </c>
      <c r="B413" s="47" t="s">
        <v>265</v>
      </c>
      <c r="C413" s="17" t="s">
        <v>116</v>
      </c>
      <c r="D413" s="113">
        <v>2.025010044968E12</v>
      </c>
      <c r="E413" s="113">
        <v>1.2242524778E10</v>
      </c>
      <c r="F413" s="114" t="s">
        <v>3097</v>
      </c>
      <c r="G413" s="114" t="s">
        <v>3387</v>
      </c>
      <c r="H413" s="114" t="s">
        <v>3202</v>
      </c>
      <c r="I413" s="114" t="s">
        <v>164</v>
      </c>
      <c r="J413" s="114" t="s">
        <v>3388</v>
      </c>
      <c r="K413" s="114">
        <v>123456.0</v>
      </c>
      <c r="L413" s="114">
        <v>7.973559866E9</v>
      </c>
      <c r="M413" s="114">
        <v>9.814880411E9</v>
      </c>
      <c r="N413" s="114">
        <v>8.968335711E9</v>
      </c>
      <c r="O413" s="115">
        <v>39537.0</v>
      </c>
      <c r="P413" s="114" t="s">
        <v>3389</v>
      </c>
      <c r="Q413" s="114" t="s">
        <v>3390</v>
      </c>
      <c r="R413" s="114" t="s">
        <v>437</v>
      </c>
      <c r="S413" s="114" t="s">
        <v>136</v>
      </c>
      <c r="T413" s="114">
        <v>143406.0</v>
      </c>
      <c r="U413" s="114" t="s">
        <v>321</v>
      </c>
      <c r="V413" s="114" t="s">
        <v>66</v>
      </c>
      <c r="W413" s="126" t="s">
        <v>141</v>
      </c>
      <c r="X413" s="114" t="s">
        <v>506</v>
      </c>
      <c r="Y413" s="114" t="s">
        <v>992</v>
      </c>
      <c r="Z413" s="122"/>
      <c r="AA413" s="116"/>
      <c r="AB413" s="123"/>
      <c r="AC413" s="123"/>
      <c r="AD413" s="124"/>
      <c r="AE413" s="124"/>
      <c r="AF413" s="119">
        <v>6.71558585607E11</v>
      </c>
      <c r="AG413" s="109"/>
      <c r="AH413" s="109"/>
    </row>
    <row r="414">
      <c r="A414" s="15">
        <v>422.0</v>
      </c>
      <c r="B414" s="47" t="s">
        <v>265</v>
      </c>
      <c r="C414" s="17" t="s">
        <v>116</v>
      </c>
      <c r="D414" s="121">
        <v>2.02501004517E12</v>
      </c>
      <c r="E414" s="121">
        <v>1.224252478E10</v>
      </c>
      <c r="F414" s="114" t="s">
        <v>3391</v>
      </c>
      <c r="G414" s="114" t="s">
        <v>3392</v>
      </c>
      <c r="H414" s="114" t="s">
        <v>360</v>
      </c>
      <c r="I414" s="114" t="s">
        <v>126</v>
      </c>
      <c r="J414" s="114" t="s">
        <v>3393</v>
      </c>
      <c r="K414" s="114">
        <v>123456.0</v>
      </c>
      <c r="L414" s="114">
        <v>9.779298617E9</v>
      </c>
      <c r="M414" s="114">
        <v>8.288937492E9</v>
      </c>
      <c r="N414" s="114">
        <v>8.288937492E9</v>
      </c>
      <c r="O414" s="115">
        <v>38349.0</v>
      </c>
      <c r="P414" s="114" t="s">
        <v>3394</v>
      </c>
      <c r="Q414" s="114" t="s">
        <v>3395</v>
      </c>
      <c r="R414" s="114" t="s">
        <v>135</v>
      </c>
      <c r="S414" s="114" t="s">
        <v>136</v>
      </c>
      <c r="T414" s="114">
        <v>143413.0</v>
      </c>
      <c r="U414" s="114" t="s">
        <v>2064</v>
      </c>
      <c r="V414" s="114" t="s">
        <v>156</v>
      </c>
      <c r="W414" s="126" t="s">
        <v>141</v>
      </c>
      <c r="X414" s="114" t="s">
        <v>143</v>
      </c>
      <c r="Y414" s="114" t="s">
        <v>992</v>
      </c>
      <c r="Z414" s="122"/>
      <c r="AA414" s="126" t="s">
        <v>3059</v>
      </c>
      <c r="AB414" s="123"/>
      <c r="AC414" s="123"/>
      <c r="AD414" s="124"/>
      <c r="AE414" s="124"/>
      <c r="AF414" s="125">
        <v>6.49477001853E11</v>
      </c>
      <c r="AG414" s="109"/>
      <c r="AH414" s="109"/>
    </row>
    <row r="415">
      <c r="A415" s="15">
        <v>423.0</v>
      </c>
      <c r="B415" s="47" t="s">
        <v>265</v>
      </c>
      <c r="C415" s="17" t="s">
        <v>116</v>
      </c>
      <c r="D415" s="113">
        <v>2.025010045339E12</v>
      </c>
      <c r="E415" s="113">
        <v>1.2242524781E10</v>
      </c>
      <c r="F415" s="114" t="s">
        <v>3396</v>
      </c>
      <c r="G415" s="114" t="s">
        <v>3397</v>
      </c>
      <c r="H415" s="114" t="s">
        <v>2451</v>
      </c>
      <c r="I415" s="114" t="s">
        <v>164</v>
      </c>
      <c r="J415" s="114" t="s">
        <v>1200</v>
      </c>
      <c r="K415" s="114">
        <v>123456.0</v>
      </c>
      <c r="L415" s="114">
        <v>9.877355188E9</v>
      </c>
      <c r="M415" s="114">
        <v>9.023364301E9</v>
      </c>
      <c r="N415" s="114" t="s">
        <v>3398</v>
      </c>
      <c r="O415" s="115">
        <v>38945.0</v>
      </c>
      <c r="P415" s="114" t="s">
        <v>3399</v>
      </c>
      <c r="Q415" s="114" t="s">
        <v>3400</v>
      </c>
      <c r="R415" s="114" t="s">
        <v>522</v>
      </c>
      <c r="S415" s="114" t="s">
        <v>3401</v>
      </c>
      <c r="T415" s="114">
        <v>143401.0</v>
      </c>
      <c r="U415" s="114" t="s">
        <v>2064</v>
      </c>
      <c r="V415" s="114" t="s">
        <v>66</v>
      </c>
      <c r="W415" s="126" t="s">
        <v>141</v>
      </c>
      <c r="X415" s="114" t="s">
        <v>229</v>
      </c>
      <c r="Y415" s="114" t="s">
        <v>2642</v>
      </c>
      <c r="Z415" s="122"/>
      <c r="AA415" s="116"/>
      <c r="AB415" s="123"/>
      <c r="AC415" s="123"/>
      <c r="AD415" s="124"/>
      <c r="AE415" s="124"/>
      <c r="AF415" s="119">
        <v>5.99184905831E11</v>
      </c>
      <c r="AG415" s="109"/>
      <c r="AH415" s="109"/>
    </row>
    <row r="416">
      <c r="A416" s="15">
        <v>424.0</v>
      </c>
      <c r="B416" s="47" t="s">
        <v>265</v>
      </c>
      <c r="C416" s="17" t="s">
        <v>116</v>
      </c>
      <c r="D416" s="121">
        <v>2.025010045391E12</v>
      </c>
      <c r="E416" s="121">
        <v>1.2242524782E10</v>
      </c>
      <c r="F416" s="114" t="s">
        <v>3402</v>
      </c>
      <c r="G416" s="114" t="s">
        <v>3403</v>
      </c>
      <c r="H416" s="114" t="s">
        <v>3404</v>
      </c>
      <c r="I416" s="114" t="s">
        <v>164</v>
      </c>
      <c r="J416" s="114" t="s">
        <v>1212</v>
      </c>
      <c r="K416" s="114">
        <v>123456.0</v>
      </c>
      <c r="L416" s="114">
        <v>7.589657614E9</v>
      </c>
      <c r="M416" s="114">
        <v>9.988124828E9</v>
      </c>
      <c r="N416" s="114">
        <v>9.855624828E9</v>
      </c>
      <c r="O416" s="115">
        <v>39100.0</v>
      </c>
      <c r="P416" s="114" t="s">
        <v>3405</v>
      </c>
      <c r="Q416" s="114" t="s">
        <v>3406</v>
      </c>
      <c r="R416" s="114" t="s">
        <v>437</v>
      </c>
      <c r="S416" s="114" t="s">
        <v>136</v>
      </c>
      <c r="T416" s="114">
        <v>143407.0</v>
      </c>
      <c r="U416" s="114" t="s">
        <v>2064</v>
      </c>
      <c r="V416" s="114" t="s">
        <v>66</v>
      </c>
      <c r="W416" s="126" t="s">
        <v>141</v>
      </c>
      <c r="X416" s="114" t="s">
        <v>3052</v>
      </c>
      <c r="Y416" s="114" t="s">
        <v>992</v>
      </c>
      <c r="Z416" s="122"/>
      <c r="AA416" s="126" t="s">
        <v>3059</v>
      </c>
      <c r="AB416" s="123"/>
      <c r="AC416" s="123"/>
      <c r="AD416" s="124"/>
      <c r="AE416" s="124"/>
      <c r="AF416" s="125">
        <v>8.38196409081E11</v>
      </c>
      <c r="AG416" s="109"/>
      <c r="AH416" s="109"/>
    </row>
    <row r="417">
      <c r="A417" s="15">
        <v>425.0</v>
      </c>
      <c r="B417" s="47" t="s">
        <v>265</v>
      </c>
      <c r="C417" s="17" t="s">
        <v>116</v>
      </c>
      <c r="D417" s="113">
        <v>2.025010045482E12</v>
      </c>
      <c r="E417" s="113">
        <v>1.2242524783E10</v>
      </c>
      <c r="F417" s="114" t="s">
        <v>3407</v>
      </c>
      <c r="G417" s="114" t="s">
        <v>3408</v>
      </c>
      <c r="H417" s="114" t="s">
        <v>1217</v>
      </c>
      <c r="I417" s="114" t="s">
        <v>126</v>
      </c>
      <c r="J417" s="114" t="s">
        <v>1219</v>
      </c>
      <c r="K417" s="114">
        <v>123456.0</v>
      </c>
      <c r="L417" s="114">
        <v>7.837210201E9</v>
      </c>
      <c r="M417" s="114">
        <v>9.876406531E9</v>
      </c>
      <c r="N417" s="114">
        <v>9.872526531E9</v>
      </c>
      <c r="O417" s="115">
        <v>39000.0</v>
      </c>
      <c r="P417" s="114" t="s">
        <v>3409</v>
      </c>
      <c r="Q417" s="114" t="s">
        <v>3410</v>
      </c>
      <c r="R417" s="114" t="s">
        <v>135</v>
      </c>
      <c r="S417" s="114" t="s">
        <v>136</v>
      </c>
      <c r="T417" s="114">
        <v>143001.0</v>
      </c>
      <c r="U417" s="114" t="s">
        <v>321</v>
      </c>
      <c r="V417" s="114" t="s">
        <v>156</v>
      </c>
      <c r="W417" s="126" t="s">
        <v>141</v>
      </c>
      <c r="X417" s="114" t="s">
        <v>143</v>
      </c>
      <c r="Y417" s="114" t="s">
        <v>2677</v>
      </c>
      <c r="Z417" s="122"/>
      <c r="AA417" s="116"/>
      <c r="AB417" s="123"/>
      <c r="AC417" s="123"/>
      <c r="AD417" s="124"/>
      <c r="AE417" s="124"/>
      <c r="AF417" s="119">
        <v>2.13309466547E11</v>
      </c>
      <c r="AG417" s="109"/>
      <c r="AH417" s="109"/>
    </row>
    <row r="418">
      <c r="A418" s="15">
        <v>426.0</v>
      </c>
      <c r="B418" s="47" t="s">
        <v>265</v>
      </c>
      <c r="C418" s="17" t="s">
        <v>116</v>
      </c>
      <c r="D418" s="121">
        <v>2.025010045716E12</v>
      </c>
      <c r="E418" s="121">
        <v>1.2242524784E10</v>
      </c>
      <c r="F418" s="114" t="s">
        <v>3411</v>
      </c>
      <c r="G418" s="114" t="s">
        <v>3092</v>
      </c>
      <c r="H418" s="114" t="s">
        <v>1226</v>
      </c>
      <c r="I418" s="114" t="s">
        <v>164</v>
      </c>
      <c r="J418" s="114" t="s">
        <v>1227</v>
      </c>
      <c r="K418" s="114">
        <v>123456.0</v>
      </c>
      <c r="L418" s="114">
        <v>9.780272755E9</v>
      </c>
      <c r="M418" s="114">
        <v>9.814481172E9</v>
      </c>
      <c r="N418" s="114">
        <v>7.837423909E9</v>
      </c>
      <c r="O418" s="115">
        <v>39273.0</v>
      </c>
      <c r="P418" s="114" t="s">
        <v>3412</v>
      </c>
      <c r="Q418" s="114" t="s">
        <v>3413</v>
      </c>
      <c r="R418" s="114" t="s">
        <v>135</v>
      </c>
      <c r="S418" s="114" t="s">
        <v>136</v>
      </c>
      <c r="T418" s="114">
        <v>143001.0</v>
      </c>
      <c r="U418" s="114" t="s">
        <v>2064</v>
      </c>
      <c r="V418" s="114" t="s">
        <v>66</v>
      </c>
      <c r="W418" s="126" t="s">
        <v>141</v>
      </c>
      <c r="X418" s="114" t="s">
        <v>229</v>
      </c>
      <c r="Y418" s="114" t="s">
        <v>2642</v>
      </c>
      <c r="Z418" s="122"/>
      <c r="AA418" s="116"/>
      <c r="AB418" s="123"/>
      <c r="AC418" s="123"/>
      <c r="AD418" s="124"/>
      <c r="AE418" s="124"/>
      <c r="AF418" s="125">
        <v>7.49299706958E11</v>
      </c>
      <c r="AG418" s="109"/>
      <c r="AH418" s="109"/>
    </row>
    <row r="419">
      <c r="A419" s="15">
        <v>427.0</v>
      </c>
      <c r="B419" s="47" t="s">
        <v>265</v>
      </c>
      <c r="C419" s="17" t="s">
        <v>116</v>
      </c>
      <c r="D419" s="113">
        <v>2.025010045731E12</v>
      </c>
      <c r="E419" s="113">
        <v>1.2242524785E10</v>
      </c>
      <c r="F419" s="114" t="s">
        <v>3060</v>
      </c>
      <c r="G419" s="114" t="s">
        <v>3414</v>
      </c>
      <c r="H419" s="114" t="s">
        <v>3415</v>
      </c>
      <c r="I419" s="114" t="s">
        <v>164</v>
      </c>
      <c r="J419" s="114" t="s">
        <v>1235</v>
      </c>
      <c r="K419" s="114">
        <v>123456.0</v>
      </c>
      <c r="L419" s="114">
        <v>7.9814309E8</v>
      </c>
      <c r="M419" s="114">
        <v>9.878001007E9</v>
      </c>
      <c r="N419" s="114">
        <v>7.814096641E9</v>
      </c>
      <c r="O419" s="115">
        <v>38537.0</v>
      </c>
      <c r="P419" s="114" t="s">
        <v>3416</v>
      </c>
      <c r="Q419" s="114" t="s">
        <v>3417</v>
      </c>
      <c r="R419" s="114" t="s">
        <v>3418</v>
      </c>
      <c r="S419" s="114" t="s">
        <v>747</v>
      </c>
      <c r="T419" s="114">
        <v>143115.0</v>
      </c>
      <c r="U419" s="114" t="s">
        <v>2843</v>
      </c>
      <c r="V419" s="114" t="s">
        <v>3419</v>
      </c>
      <c r="W419" s="126" t="s">
        <v>141</v>
      </c>
      <c r="X419" s="114" t="s">
        <v>3308</v>
      </c>
      <c r="Y419" s="114" t="s">
        <v>3053</v>
      </c>
      <c r="Z419" s="122"/>
      <c r="AA419" s="116"/>
      <c r="AB419" s="123"/>
      <c r="AC419" s="123"/>
      <c r="AD419" s="124"/>
      <c r="AE419" s="124"/>
      <c r="AF419" s="119">
        <v>9.9119871501E11</v>
      </c>
      <c r="AG419" s="109"/>
      <c r="AH419" s="109"/>
    </row>
    <row r="420">
      <c r="A420" s="15">
        <v>428.0</v>
      </c>
      <c r="B420" s="47" t="s">
        <v>265</v>
      </c>
      <c r="C420" s="17" t="s">
        <v>116</v>
      </c>
      <c r="D420" s="121">
        <v>2.025010045735E12</v>
      </c>
      <c r="E420" s="121">
        <v>1.2242524786E10</v>
      </c>
      <c r="F420" s="114" t="s">
        <v>3420</v>
      </c>
      <c r="G420" s="114" t="s">
        <v>3421</v>
      </c>
      <c r="H420" s="114" t="s">
        <v>641</v>
      </c>
      <c r="I420" s="114" t="s">
        <v>126</v>
      </c>
      <c r="J420" s="114" t="s">
        <v>1244</v>
      </c>
      <c r="K420" s="114">
        <v>123456.0</v>
      </c>
      <c r="L420" s="114">
        <v>9.815625006E9</v>
      </c>
      <c r="M420" s="114">
        <v>7.973721454E9</v>
      </c>
      <c r="N420" s="114">
        <v>7.973009332E9</v>
      </c>
      <c r="O420" s="115">
        <v>39380.0</v>
      </c>
      <c r="P420" s="114" t="s">
        <v>3422</v>
      </c>
      <c r="Q420" s="114" t="s">
        <v>3423</v>
      </c>
      <c r="R420" s="114" t="s">
        <v>135</v>
      </c>
      <c r="S420" s="114" t="s">
        <v>136</v>
      </c>
      <c r="T420" s="114">
        <v>143413.0</v>
      </c>
      <c r="U420" s="114" t="s">
        <v>2064</v>
      </c>
      <c r="V420" s="114" t="s">
        <v>156</v>
      </c>
      <c r="W420" s="126" t="s">
        <v>141</v>
      </c>
      <c r="X420" s="114" t="s">
        <v>221</v>
      </c>
      <c r="Y420" s="114" t="s">
        <v>992</v>
      </c>
      <c r="Z420" s="122"/>
      <c r="AA420" s="116"/>
      <c r="AB420" s="123"/>
      <c r="AC420" s="123"/>
      <c r="AD420" s="124"/>
      <c r="AE420" s="124"/>
      <c r="AF420" s="125" t="s">
        <v>3424</v>
      </c>
      <c r="AG420" s="109"/>
      <c r="AH420" s="109"/>
    </row>
    <row r="421">
      <c r="A421" s="15">
        <v>429.0</v>
      </c>
      <c r="B421" s="47" t="s">
        <v>265</v>
      </c>
      <c r="C421" s="17" t="s">
        <v>116</v>
      </c>
      <c r="D421" s="113">
        <v>2.025010045826E12</v>
      </c>
      <c r="E421" s="113">
        <v>1.2242524787E10</v>
      </c>
      <c r="F421" s="114" t="s">
        <v>3247</v>
      </c>
      <c r="G421" s="114" t="s">
        <v>3425</v>
      </c>
      <c r="H421" s="114" t="s">
        <v>3426</v>
      </c>
      <c r="I421" s="114" t="s">
        <v>126</v>
      </c>
      <c r="J421" s="114" t="s">
        <v>1251</v>
      </c>
      <c r="K421" s="114">
        <v>123456.0</v>
      </c>
      <c r="L421" s="114">
        <v>9.501895779E9</v>
      </c>
      <c r="M421" s="114">
        <v>9.872869813E9</v>
      </c>
      <c r="N421" s="114">
        <v>8.728023148E9</v>
      </c>
      <c r="O421" s="115">
        <v>38911.0</v>
      </c>
      <c r="P421" s="114" t="s">
        <v>3427</v>
      </c>
      <c r="Q421" s="114" t="s">
        <v>3428</v>
      </c>
      <c r="R421" s="114" t="s">
        <v>135</v>
      </c>
      <c r="S421" s="114" t="s">
        <v>136</v>
      </c>
      <c r="T421" s="114">
        <v>143114.0</v>
      </c>
      <c r="U421" s="114" t="s">
        <v>991</v>
      </c>
      <c r="V421" s="114" t="s">
        <v>156</v>
      </c>
      <c r="W421" s="126" t="s">
        <v>141</v>
      </c>
      <c r="X421" s="114" t="s">
        <v>257</v>
      </c>
      <c r="Y421" s="114" t="s">
        <v>992</v>
      </c>
      <c r="Z421" s="122"/>
      <c r="AA421" s="116"/>
      <c r="AB421" s="123"/>
      <c r="AC421" s="123"/>
      <c r="AD421" s="124"/>
      <c r="AE421" s="124"/>
      <c r="AF421" s="119">
        <v>7.25674247263E11</v>
      </c>
      <c r="AG421" s="109"/>
      <c r="AH421" s="109"/>
    </row>
    <row r="422">
      <c r="A422" s="15">
        <v>430.0</v>
      </c>
      <c r="B422" s="47" t="s">
        <v>265</v>
      </c>
      <c r="C422" s="17" t="s">
        <v>116</v>
      </c>
      <c r="D422" s="121">
        <v>2.025010045835E12</v>
      </c>
      <c r="E422" s="121">
        <v>1.2242524788E10</v>
      </c>
      <c r="F422" s="114" t="s">
        <v>3429</v>
      </c>
      <c r="G422" s="114" t="s">
        <v>3430</v>
      </c>
      <c r="H422" s="114" t="s">
        <v>3431</v>
      </c>
      <c r="I422" s="114" t="s">
        <v>126</v>
      </c>
      <c r="J422" s="114" t="s">
        <v>1262</v>
      </c>
      <c r="K422" s="114">
        <v>123456.0</v>
      </c>
      <c r="L422" s="114">
        <v>9.501418011E9</v>
      </c>
      <c r="M422" s="114">
        <v>9.8762577E9</v>
      </c>
      <c r="N422" s="114">
        <v>8.264482215E9</v>
      </c>
      <c r="O422" s="115">
        <v>39012.0</v>
      </c>
      <c r="P422" s="114" t="s">
        <v>3432</v>
      </c>
      <c r="Q422" s="114" t="s">
        <v>3433</v>
      </c>
      <c r="R422" s="114" t="s">
        <v>437</v>
      </c>
      <c r="S422" s="114" t="s">
        <v>136</v>
      </c>
      <c r="T422" s="114">
        <v>143422.0</v>
      </c>
      <c r="U422" s="114" t="s">
        <v>2064</v>
      </c>
      <c r="V422" s="114" t="s">
        <v>156</v>
      </c>
      <c r="W422" s="126" t="s">
        <v>141</v>
      </c>
      <c r="X422" s="114" t="s">
        <v>208</v>
      </c>
      <c r="Y422" s="114" t="s">
        <v>992</v>
      </c>
      <c r="Z422" s="122"/>
      <c r="AA422" s="126" t="s">
        <v>3059</v>
      </c>
      <c r="AB422" s="123"/>
      <c r="AC422" s="123"/>
      <c r="AD422" s="124"/>
      <c r="AE422" s="124"/>
      <c r="AF422" s="125" t="s">
        <v>3434</v>
      </c>
      <c r="AG422" s="109"/>
      <c r="AH422" s="109"/>
    </row>
    <row r="423">
      <c r="A423" s="15">
        <v>431.0</v>
      </c>
      <c r="B423" s="47" t="s">
        <v>265</v>
      </c>
      <c r="C423" s="17" t="s">
        <v>116</v>
      </c>
      <c r="D423" s="113">
        <v>2.025010046011E12</v>
      </c>
      <c r="E423" s="113">
        <v>1.224252479E10</v>
      </c>
      <c r="F423" s="114" t="s">
        <v>3429</v>
      </c>
      <c r="G423" s="114" t="s">
        <v>3435</v>
      </c>
      <c r="H423" s="114" t="s">
        <v>441</v>
      </c>
      <c r="I423" s="114" t="s">
        <v>126</v>
      </c>
      <c r="J423" s="114" t="s">
        <v>1283</v>
      </c>
      <c r="K423" s="114">
        <v>123456.0</v>
      </c>
      <c r="L423" s="114">
        <v>6.284380076E9</v>
      </c>
      <c r="M423" s="114">
        <v>9.780091837E9</v>
      </c>
      <c r="N423" s="114">
        <v>6.23989606E9</v>
      </c>
      <c r="O423" s="115">
        <v>39083.0</v>
      </c>
      <c r="P423" s="114" t="s">
        <v>3436</v>
      </c>
      <c r="Q423" s="114" t="s">
        <v>3437</v>
      </c>
      <c r="R423" s="114" t="s">
        <v>437</v>
      </c>
      <c r="S423" s="114" t="s">
        <v>136</v>
      </c>
      <c r="T423" s="114">
        <v>143401.0</v>
      </c>
      <c r="U423" s="114" t="s">
        <v>321</v>
      </c>
      <c r="V423" s="114" t="s">
        <v>156</v>
      </c>
      <c r="W423" s="126" t="s">
        <v>141</v>
      </c>
      <c r="X423" s="114" t="s">
        <v>229</v>
      </c>
      <c r="Y423" s="114" t="s">
        <v>2780</v>
      </c>
      <c r="Z423" s="114" t="s">
        <v>80</v>
      </c>
      <c r="AA423" s="116"/>
      <c r="AB423" s="123"/>
      <c r="AC423" s="123"/>
      <c r="AD423" s="124"/>
      <c r="AE423" s="124"/>
      <c r="AF423" s="119">
        <v>3.13085174635E11</v>
      </c>
      <c r="AG423" s="109"/>
      <c r="AH423" s="109"/>
    </row>
    <row r="424">
      <c r="A424" s="15">
        <v>432.0</v>
      </c>
      <c r="B424" s="47" t="s">
        <v>265</v>
      </c>
      <c r="C424" s="17" t="s">
        <v>116</v>
      </c>
      <c r="D424" s="121">
        <v>2.025010046067E12</v>
      </c>
      <c r="E424" s="121">
        <v>1.2242524791E10</v>
      </c>
      <c r="F424" s="114" t="s">
        <v>3438</v>
      </c>
      <c r="G424" s="114" t="s">
        <v>3439</v>
      </c>
      <c r="H424" s="114" t="s">
        <v>3440</v>
      </c>
      <c r="I424" s="114" t="s">
        <v>164</v>
      </c>
      <c r="J424" s="114" t="s">
        <v>1293</v>
      </c>
      <c r="K424" s="114">
        <v>123456.0</v>
      </c>
      <c r="L424" s="114">
        <v>9.779660294E9</v>
      </c>
      <c r="M424" s="114">
        <v>9.41707175E9</v>
      </c>
      <c r="N424" s="114">
        <v>6.284619294E9</v>
      </c>
      <c r="O424" s="115">
        <v>39190.0</v>
      </c>
      <c r="P424" s="114" t="s">
        <v>3441</v>
      </c>
      <c r="Q424" s="114" t="s">
        <v>3442</v>
      </c>
      <c r="R424" s="114" t="s">
        <v>135</v>
      </c>
      <c r="S424" s="114" t="s">
        <v>136</v>
      </c>
      <c r="T424" s="114">
        <v>143001.0</v>
      </c>
      <c r="U424" s="114" t="s">
        <v>321</v>
      </c>
      <c r="V424" s="114" t="s">
        <v>66</v>
      </c>
      <c r="W424" s="126" t="s">
        <v>141</v>
      </c>
      <c r="X424" s="114" t="s">
        <v>229</v>
      </c>
      <c r="Y424" s="114" t="s">
        <v>2677</v>
      </c>
      <c r="Z424" s="122"/>
      <c r="AA424" s="116"/>
      <c r="AB424" s="123"/>
      <c r="AC424" s="123"/>
      <c r="AD424" s="124"/>
      <c r="AE424" s="124"/>
      <c r="AF424" s="125">
        <v>5.54556593403E11</v>
      </c>
      <c r="AG424" s="109"/>
      <c r="AH424" s="109"/>
    </row>
    <row r="425">
      <c r="A425" s="15">
        <v>433.0</v>
      </c>
      <c r="B425" s="47" t="s">
        <v>265</v>
      </c>
      <c r="C425" s="17" t="s">
        <v>116</v>
      </c>
      <c r="D425" s="113">
        <v>2.025010046091E12</v>
      </c>
      <c r="E425" s="113">
        <v>1.2242524792E10</v>
      </c>
      <c r="F425" s="114" t="s">
        <v>3443</v>
      </c>
      <c r="G425" s="114" t="s">
        <v>3444</v>
      </c>
      <c r="H425" s="114" t="s">
        <v>3445</v>
      </c>
      <c r="I425" s="114" t="s">
        <v>126</v>
      </c>
      <c r="J425" s="114" t="s">
        <v>1302</v>
      </c>
      <c r="K425" s="114">
        <v>123456.0</v>
      </c>
      <c r="L425" s="114">
        <v>9.592231038E9</v>
      </c>
      <c r="M425" s="114">
        <v>9.814580945E9</v>
      </c>
      <c r="N425" s="114">
        <v>9.814170073E9</v>
      </c>
      <c r="O425" s="115">
        <v>39176.0</v>
      </c>
      <c r="P425" s="114" t="s">
        <v>3446</v>
      </c>
      <c r="Q425" s="114" t="s">
        <v>3447</v>
      </c>
      <c r="R425" s="114" t="s">
        <v>595</v>
      </c>
      <c r="S425" s="114" t="s">
        <v>136</v>
      </c>
      <c r="T425" s="114">
        <v>152023.0</v>
      </c>
      <c r="U425" s="114" t="s">
        <v>3193</v>
      </c>
      <c r="V425" s="114" t="s">
        <v>156</v>
      </c>
      <c r="W425" s="126" t="s">
        <v>141</v>
      </c>
      <c r="X425" s="114" t="s">
        <v>793</v>
      </c>
      <c r="Y425" s="114" t="s">
        <v>992</v>
      </c>
      <c r="Z425" s="114" t="s">
        <v>80</v>
      </c>
      <c r="AA425" s="116"/>
      <c r="AB425" s="123"/>
      <c r="AC425" s="123"/>
      <c r="AD425" s="124"/>
      <c r="AE425" s="124"/>
      <c r="AF425" s="119">
        <v>8.82716354272E11</v>
      </c>
      <c r="AG425" s="109"/>
      <c r="AH425" s="109"/>
    </row>
    <row r="426">
      <c r="A426" s="15">
        <v>434.0</v>
      </c>
      <c r="B426" s="47" t="s">
        <v>265</v>
      </c>
      <c r="C426" s="17" t="s">
        <v>116</v>
      </c>
      <c r="D426" s="121">
        <v>2.025010046186E12</v>
      </c>
      <c r="E426" s="121">
        <v>1.2242524793E10</v>
      </c>
      <c r="F426" s="114" t="s">
        <v>3448</v>
      </c>
      <c r="G426" s="114" t="s">
        <v>3449</v>
      </c>
      <c r="H426" s="114" t="s">
        <v>180</v>
      </c>
      <c r="I426" s="114" t="s">
        <v>126</v>
      </c>
      <c r="J426" s="114" t="s">
        <v>1310</v>
      </c>
      <c r="K426" s="114">
        <v>123456.0</v>
      </c>
      <c r="L426" s="114">
        <v>7.0874647E9</v>
      </c>
      <c r="M426" s="114">
        <v>9.781094998E9</v>
      </c>
      <c r="N426" s="114">
        <v>8.528900613E9</v>
      </c>
      <c r="O426" s="115">
        <v>38766.0</v>
      </c>
      <c r="P426" s="114" t="s">
        <v>3450</v>
      </c>
      <c r="Q426" s="114" t="s">
        <v>3451</v>
      </c>
      <c r="R426" s="114" t="s">
        <v>716</v>
      </c>
      <c r="S426" s="114" t="s">
        <v>136</v>
      </c>
      <c r="T426" s="114">
        <v>143117.0</v>
      </c>
      <c r="U426" s="114" t="s">
        <v>2064</v>
      </c>
      <c r="V426" s="114" t="s">
        <v>156</v>
      </c>
      <c r="W426" s="126" t="s">
        <v>141</v>
      </c>
      <c r="X426" s="114" t="s">
        <v>208</v>
      </c>
      <c r="Y426" s="114" t="s">
        <v>992</v>
      </c>
      <c r="Z426" s="122"/>
      <c r="AA426" s="126" t="s">
        <v>3059</v>
      </c>
      <c r="AB426" s="123"/>
      <c r="AC426" s="123"/>
      <c r="AD426" s="124"/>
      <c r="AE426" s="124"/>
      <c r="AF426" s="125">
        <v>9.46640751226E11</v>
      </c>
      <c r="AG426" s="109"/>
      <c r="AH426" s="109"/>
    </row>
    <row r="427">
      <c r="A427" s="15">
        <v>435.0</v>
      </c>
      <c r="B427" s="47" t="s">
        <v>265</v>
      </c>
      <c r="C427" s="17" t="s">
        <v>116</v>
      </c>
      <c r="D427" s="113">
        <v>2.0250100463E12</v>
      </c>
      <c r="E427" s="113">
        <v>1.2242524794E10</v>
      </c>
      <c r="F427" s="114" t="s">
        <v>3452</v>
      </c>
      <c r="G427" s="114" t="s">
        <v>3453</v>
      </c>
      <c r="H427" s="114" t="s">
        <v>441</v>
      </c>
      <c r="I427" s="114" t="s">
        <v>164</v>
      </c>
      <c r="J427" s="114" t="s">
        <v>1318</v>
      </c>
      <c r="K427" s="114">
        <v>123456.0</v>
      </c>
      <c r="L427" s="114">
        <v>9.041941629E9</v>
      </c>
      <c r="M427" s="114">
        <v>9.814748007E9</v>
      </c>
      <c r="N427" s="114">
        <v>9.814612005E9</v>
      </c>
      <c r="O427" s="115">
        <v>39328.0</v>
      </c>
      <c r="P427" s="114" t="s">
        <v>3454</v>
      </c>
      <c r="Q427" s="114" t="s">
        <v>3455</v>
      </c>
      <c r="R427" s="114" t="s">
        <v>135</v>
      </c>
      <c r="S427" s="114" t="s">
        <v>136</v>
      </c>
      <c r="T427" s="114">
        <v>143001.0</v>
      </c>
      <c r="U427" s="114" t="s">
        <v>2064</v>
      </c>
      <c r="V427" s="114" t="s">
        <v>66</v>
      </c>
      <c r="W427" s="126" t="s">
        <v>141</v>
      </c>
      <c r="X427" s="114" t="s">
        <v>793</v>
      </c>
      <c r="Y427" s="114" t="s">
        <v>992</v>
      </c>
      <c r="Z427" s="122"/>
      <c r="AA427" s="116"/>
      <c r="AB427" s="123"/>
      <c r="AC427" s="123"/>
      <c r="AD427" s="124"/>
      <c r="AE427" s="124"/>
      <c r="AF427" s="119" t="s">
        <v>3456</v>
      </c>
      <c r="AG427" s="109"/>
      <c r="AH427" s="109"/>
    </row>
    <row r="428">
      <c r="A428" s="15">
        <v>436.0</v>
      </c>
      <c r="B428" s="47" t="s">
        <v>265</v>
      </c>
      <c r="C428" s="17" t="s">
        <v>116</v>
      </c>
      <c r="D428" s="121">
        <v>2.025010046332E12</v>
      </c>
      <c r="E428" s="121">
        <v>1.2242524795E10</v>
      </c>
      <c r="F428" s="114" t="s">
        <v>3457</v>
      </c>
      <c r="G428" s="114" t="s">
        <v>3430</v>
      </c>
      <c r="H428" s="114" t="s">
        <v>1291</v>
      </c>
      <c r="I428" s="114" t="s">
        <v>164</v>
      </c>
      <c r="J428" s="114" t="s">
        <v>1327</v>
      </c>
      <c r="K428" s="114">
        <v>123456.0</v>
      </c>
      <c r="L428" s="114">
        <v>8.872964062E9</v>
      </c>
      <c r="M428" s="114">
        <v>9.878829262E9</v>
      </c>
      <c r="N428" s="114">
        <v>8.872350276E9</v>
      </c>
      <c r="O428" s="115">
        <v>38874.0</v>
      </c>
      <c r="P428" s="114" t="s">
        <v>3458</v>
      </c>
      <c r="Q428" s="114" t="s">
        <v>3459</v>
      </c>
      <c r="R428" s="114" t="s">
        <v>3460</v>
      </c>
      <c r="S428" s="114" t="s">
        <v>136</v>
      </c>
      <c r="T428" s="114">
        <v>143201.0</v>
      </c>
      <c r="U428" s="114" t="s">
        <v>2064</v>
      </c>
      <c r="V428" s="114" t="s">
        <v>66</v>
      </c>
      <c r="W428" s="126" t="s">
        <v>141</v>
      </c>
      <c r="X428" s="114" t="s">
        <v>208</v>
      </c>
      <c r="Y428" s="114" t="s">
        <v>992</v>
      </c>
      <c r="Z428" s="122"/>
      <c r="AA428" s="116"/>
      <c r="AB428" s="123"/>
      <c r="AC428" s="123"/>
      <c r="AD428" s="124"/>
      <c r="AE428" s="124"/>
      <c r="AF428" s="125" t="s">
        <v>3461</v>
      </c>
      <c r="AG428" s="109"/>
      <c r="AH428" s="109"/>
    </row>
    <row r="429">
      <c r="A429" s="15">
        <v>437.0</v>
      </c>
      <c r="B429" s="47" t="s">
        <v>265</v>
      </c>
      <c r="C429" s="17" t="s">
        <v>116</v>
      </c>
      <c r="D429" s="113">
        <v>2.025010064634E13</v>
      </c>
      <c r="E429" s="113">
        <v>1.2242524797E10</v>
      </c>
      <c r="F429" s="114" t="s">
        <v>3462</v>
      </c>
      <c r="G429" s="114" t="s">
        <v>3463</v>
      </c>
      <c r="H429" s="114" t="s">
        <v>3464</v>
      </c>
      <c r="I429" s="114" t="s">
        <v>164</v>
      </c>
      <c r="J429" s="114" t="s">
        <v>1346</v>
      </c>
      <c r="K429" s="114">
        <v>123456.0</v>
      </c>
      <c r="L429" s="114">
        <v>7.508250404E9</v>
      </c>
      <c r="M429" s="114">
        <v>7.508250404E9</v>
      </c>
      <c r="N429" s="114">
        <v>7.508352424E9</v>
      </c>
      <c r="O429" s="115">
        <v>39081.0</v>
      </c>
      <c r="P429" s="114" t="s">
        <v>3465</v>
      </c>
      <c r="Q429" s="114" t="s">
        <v>3466</v>
      </c>
      <c r="R429" s="114" t="s">
        <v>135</v>
      </c>
      <c r="S429" s="114" t="s">
        <v>136</v>
      </c>
      <c r="T429" s="114">
        <v>143001.0</v>
      </c>
      <c r="U429" s="114" t="s">
        <v>2064</v>
      </c>
      <c r="V429" s="114" t="s">
        <v>66</v>
      </c>
      <c r="W429" s="126" t="s">
        <v>141</v>
      </c>
      <c r="X429" s="114" t="s">
        <v>3052</v>
      </c>
      <c r="Y429" s="114" t="s">
        <v>2642</v>
      </c>
      <c r="Z429" s="122"/>
      <c r="AA429" s="116"/>
      <c r="AB429" s="123"/>
      <c r="AC429" s="123"/>
      <c r="AD429" s="124"/>
      <c r="AE429" s="124"/>
      <c r="AF429" s="119" t="s">
        <v>3467</v>
      </c>
      <c r="AG429" s="109"/>
      <c r="AH429" s="109"/>
    </row>
    <row r="430">
      <c r="A430" s="15">
        <v>438.0</v>
      </c>
      <c r="B430" s="47" t="s">
        <v>265</v>
      </c>
      <c r="C430" s="17" t="s">
        <v>116</v>
      </c>
      <c r="D430" s="121">
        <v>2.025010045849E12</v>
      </c>
      <c r="E430" s="133">
        <v>1.2242524789E10</v>
      </c>
      <c r="F430" s="114" t="s">
        <v>3468</v>
      </c>
      <c r="G430" s="114" t="s">
        <v>3469</v>
      </c>
      <c r="H430" s="114" t="s">
        <v>3470</v>
      </c>
      <c r="I430" s="114" t="s">
        <v>126</v>
      </c>
      <c r="J430" s="114" t="s">
        <v>1274</v>
      </c>
      <c r="K430" s="114">
        <v>123456.0</v>
      </c>
      <c r="L430" s="114">
        <v>7.08763378E9</v>
      </c>
      <c r="M430" s="114">
        <v>6.280241576E9</v>
      </c>
      <c r="N430" s="114">
        <v>9.781596364E9</v>
      </c>
      <c r="O430" s="115">
        <v>39237.0</v>
      </c>
      <c r="P430" s="114" t="s">
        <v>3471</v>
      </c>
      <c r="Q430" s="114" t="s">
        <v>3472</v>
      </c>
      <c r="R430" s="114" t="s">
        <v>716</v>
      </c>
      <c r="S430" s="114" t="s">
        <v>136</v>
      </c>
      <c r="T430" s="114">
        <v>143401.0</v>
      </c>
      <c r="U430" s="114" t="s">
        <v>2831</v>
      </c>
      <c r="V430" s="114" t="s">
        <v>156</v>
      </c>
      <c r="W430" s="126" t="s">
        <v>141</v>
      </c>
      <c r="X430" s="114" t="s">
        <v>3052</v>
      </c>
      <c r="Y430" s="114" t="s">
        <v>992</v>
      </c>
      <c r="Z430" s="122"/>
      <c r="AA430" s="116"/>
      <c r="AB430" s="123"/>
      <c r="AC430" s="123"/>
      <c r="AD430" s="124"/>
      <c r="AE430" s="124"/>
      <c r="AF430" s="125" t="s">
        <v>3473</v>
      </c>
      <c r="AG430" s="109"/>
      <c r="AH430" s="109"/>
    </row>
    <row r="431">
      <c r="A431" s="15">
        <v>439.0</v>
      </c>
      <c r="B431" s="47" t="s">
        <v>265</v>
      </c>
      <c r="C431" s="17" t="s">
        <v>116</v>
      </c>
      <c r="D431" s="113">
        <v>2.025010046346E12</v>
      </c>
      <c r="E431" s="113">
        <v>1.2242524798E10</v>
      </c>
      <c r="F431" s="114" t="s">
        <v>3474</v>
      </c>
      <c r="G431" s="114" t="s">
        <v>3475</v>
      </c>
      <c r="H431" s="114" t="s">
        <v>3476</v>
      </c>
      <c r="I431" s="114" t="s">
        <v>164</v>
      </c>
      <c r="J431" s="114" t="s">
        <v>3477</v>
      </c>
      <c r="K431" s="114">
        <v>123456.0</v>
      </c>
      <c r="L431" s="114">
        <v>7.986841564E9</v>
      </c>
      <c r="M431" s="114">
        <v>8.054602319E9</v>
      </c>
      <c r="N431" s="114">
        <v>8.054602319E9</v>
      </c>
      <c r="O431" s="115">
        <v>35605.0</v>
      </c>
      <c r="P431" s="114" t="s">
        <v>3478</v>
      </c>
      <c r="Q431" s="114" t="s">
        <v>3479</v>
      </c>
      <c r="R431" s="114" t="s">
        <v>135</v>
      </c>
      <c r="S431" s="114" t="s">
        <v>136</v>
      </c>
      <c r="T431" s="114">
        <v>143001.0</v>
      </c>
      <c r="U431" s="114" t="s">
        <v>2064</v>
      </c>
      <c r="V431" s="114" t="s">
        <v>66</v>
      </c>
      <c r="W431" s="126" t="s">
        <v>141</v>
      </c>
      <c r="X431" s="114" t="s">
        <v>3480</v>
      </c>
      <c r="Y431" s="114" t="s">
        <v>3323</v>
      </c>
      <c r="Z431" s="122"/>
      <c r="AA431" s="116"/>
      <c r="AB431" s="123"/>
      <c r="AC431" s="123"/>
      <c r="AD431" s="124"/>
      <c r="AE431" s="124"/>
      <c r="AF431" s="119">
        <v>8.69050637293E11</v>
      </c>
      <c r="AG431" s="109"/>
      <c r="AH431" s="109"/>
    </row>
    <row r="432">
      <c r="A432" s="15">
        <v>440.0</v>
      </c>
      <c r="B432" s="47" t="s">
        <v>265</v>
      </c>
      <c r="C432" s="17" t="s">
        <v>116</v>
      </c>
      <c r="D432" s="134">
        <v>2.025010047501E12</v>
      </c>
      <c r="E432" s="121">
        <v>1.2242524799E10</v>
      </c>
      <c r="F432" s="114" t="s">
        <v>3481</v>
      </c>
      <c r="G432" s="114" t="s">
        <v>3482</v>
      </c>
      <c r="H432" s="114" t="s">
        <v>635</v>
      </c>
      <c r="I432" s="114" t="s">
        <v>126</v>
      </c>
      <c r="J432" s="114" t="s">
        <v>1354</v>
      </c>
      <c r="K432" s="114">
        <v>123456.0</v>
      </c>
      <c r="L432" s="114">
        <v>6.284113032E9</v>
      </c>
      <c r="M432" s="114">
        <v>9.815755373E9</v>
      </c>
      <c r="N432" s="114">
        <v>7.837093461E9</v>
      </c>
      <c r="O432" s="115">
        <v>39051.0</v>
      </c>
      <c r="P432" s="114" t="s">
        <v>3483</v>
      </c>
      <c r="Q432" s="114" t="s">
        <v>3484</v>
      </c>
      <c r="R432" s="114" t="s">
        <v>135</v>
      </c>
      <c r="S432" s="114" t="s">
        <v>136</v>
      </c>
      <c r="T432" s="114">
        <v>143001.0</v>
      </c>
      <c r="U432" s="114" t="s">
        <v>321</v>
      </c>
      <c r="V432" s="114" t="s">
        <v>156</v>
      </c>
      <c r="W432" s="126" t="s">
        <v>141</v>
      </c>
      <c r="X432" s="114" t="s">
        <v>143</v>
      </c>
      <c r="Y432" s="114" t="s">
        <v>3485</v>
      </c>
      <c r="Z432" s="122"/>
      <c r="AA432" s="116"/>
      <c r="AB432" s="123"/>
      <c r="AC432" s="123"/>
      <c r="AD432" s="124"/>
      <c r="AE432" s="124"/>
      <c r="AF432" s="125">
        <v>8.85631401912E11</v>
      </c>
      <c r="AG432" s="109"/>
      <c r="AH432" s="109"/>
    </row>
    <row r="433">
      <c r="A433" s="15">
        <v>441.0</v>
      </c>
      <c r="B433" s="47" t="s">
        <v>265</v>
      </c>
      <c r="C433" s="17" t="s">
        <v>116</v>
      </c>
      <c r="D433" s="113">
        <v>2.025010045594E12</v>
      </c>
      <c r="E433" s="113">
        <v>1.22425248E10</v>
      </c>
      <c r="F433" s="114" t="s">
        <v>1359</v>
      </c>
      <c r="G433" s="114" t="s">
        <v>1360</v>
      </c>
      <c r="H433" s="114" t="s">
        <v>3486</v>
      </c>
      <c r="I433" s="114" t="s">
        <v>164</v>
      </c>
      <c r="J433" s="114" t="s">
        <v>1362</v>
      </c>
      <c r="K433" s="114">
        <v>123456.0</v>
      </c>
      <c r="L433" s="114">
        <v>8.87264571E9</v>
      </c>
      <c r="M433" s="114" t="s">
        <v>3487</v>
      </c>
      <c r="N433" s="114">
        <v>9.417813462E9</v>
      </c>
      <c r="O433" s="115">
        <v>39382.0</v>
      </c>
      <c r="P433" s="114" t="s">
        <v>3488</v>
      </c>
      <c r="Q433" s="114" t="s">
        <v>3489</v>
      </c>
      <c r="R433" s="114" t="s">
        <v>295</v>
      </c>
      <c r="S433" s="114" t="s">
        <v>296</v>
      </c>
      <c r="T433" s="114">
        <v>143411.0</v>
      </c>
      <c r="U433" s="114" t="s">
        <v>169</v>
      </c>
      <c r="V433" s="114" t="s">
        <v>1944</v>
      </c>
      <c r="W433" s="126" t="s">
        <v>141</v>
      </c>
      <c r="X433" s="114" t="s">
        <v>506</v>
      </c>
      <c r="Y433" s="114" t="s">
        <v>2656</v>
      </c>
      <c r="Z433" s="122"/>
      <c r="AA433" s="116"/>
      <c r="AB433" s="123"/>
      <c r="AC433" s="123"/>
      <c r="AD433" s="124"/>
      <c r="AE433" s="124"/>
      <c r="AF433" s="119" t="s">
        <v>3490</v>
      </c>
      <c r="AG433" s="109"/>
      <c r="AH433" s="109"/>
    </row>
    <row r="434">
      <c r="A434" s="15">
        <v>442.0</v>
      </c>
      <c r="B434" s="47" t="s">
        <v>265</v>
      </c>
      <c r="C434" s="17" t="s">
        <v>116</v>
      </c>
      <c r="D434" s="121">
        <v>2.025010045604E12</v>
      </c>
      <c r="E434" s="121">
        <v>1.2242524801E10</v>
      </c>
      <c r="F434" s="114" t="s">
        <v>3491</v>
      </c>
      <c r="G434" s="114" t="s">
        <v>3492</v>
      </c>
      <c r="H434" s="114" t="s">
        <v>1372</v>
      </c>
      <c r="I434" s="114" t="s">
        <v>164</v>
      </c>
      <c r="J434" s="114" t="s">
        <v>1373</v>
      </c>
      <c r="K434" s="114">
        <v>123456.0</v>
      </c>
      <c r="L434" s="114">
        <v>9.988322569E9</v>
      </c>
      <c r="M434" s="114">
        <v>9.356010772E9</v>
      </c>
      <c r="N434" s="114">
        <v>9.988722569E9</v>
      </c>
      <c r="O434" s="115">
        <v>39034.0</v>
      </c>
      <c r="P434" s="114" t="s">
        <v>3493</v>
      </c>
      <c r="Q434" s="114" t="s">
        <v>3494</v>
      </c>
      <c r="R434" s="114" t="s">
        <v>135</v>
      </c>
      <c r="S434" s="114" t="s">
        <v>136</v>
      </c>
      <c r="T434" s="114">
        <v>143001.0</v>
      </c>
      <c r="U434" s="114" t="s">
        <v>2064</v>
      </c>
      <c r="V434" s="114" t="s">
        <v>66</v>
      </c>
      <c r="W434" s="126" t="s">
        <v>141</v>
      </c>
      <c r="X434" s="114" t="s">
        <v>3495</v>
      </c>
      <c r="Y434" s="114" t="s">
        <v>3323</v>
      </c>
      <c r="Z434" s="122"/>
      <c r="AA434" s="116"/>
      <c r="AB434" s="123"/>
      <c r="AC434" s="123"/>
      <c r="AD434" s="124"/>
      <c r="AE434" s="124"/>
      <c r="AF434" s="125">
        <v>2.07418717796E11</v>
      </c>
      <c r="AG434" s="109"/>
      <c r="AH434" s="109"/>
    </row>
    <row r="435">
      <c r="A435" s="15">
        <v>443.0</v>
      </c>
      <c r="B435" s="47" t="s">
        <v>265</v>
      </c>
      <c r="C435" s="17" t="s">
        <v>116</v>
      </c>
      <c r="D435" s="113">
        <v>2.025010045631E12</v>
      </c>
      <c r="E435" s="113">
        <v>1.2242524802E10</v>
      </c>
      <c r="F435" s="114" t="s">
        <v>3496</v>
      </c>
      <c r="G435" s="114" t="s">
        <v>3378</v>
      </c>
      <c r="H435" s="114" t="s">
        <v>529</v>
      </c>
      <c r="I435" s="114" t="s">
        <v>164</v>
      </c>
      <c r="J435" s="114" t="s">
        <v>1384</v>
      </c>
      <c r="K435" s="114">
        <v>123456.0</v>
      </c>
      <c r="L435" s="114">
        <v>9.417780711E9</v>
      </c>
      <c r="M435" s="114">
        <v>9.463373576E9</v>
      </c>
      <c r="N435" s="114">
        <v>9.81512824E9</v>
      </c>
      <c r="O435" s="115">
        <v>38935.0</v>
      </c>
      <c r="P435" s="114" t="s">
        <v>3497</v>
      </c>
      <c r="Q435" s="114" t="s">
        <v>3498</v>
      </c>
      <c r="R435" s="114" t="s">
        <v>135</v>
      </c>
      <c r="S435" s="114" t="s">
        <v>136</v>
      </c>
      <c r="T435" s="114">
        <v>143116.0</v>
      </c>
      <c r="U435" s="114" t="s">
        <v>2064</v>
      </c>
      <c r="V435" s="114" t="s">
        <v>66</v>
      </c>
      <c r="W435" s="126" t="s">
        <v>141</v>
      </c>
      <c r="X435" s="114" t="s">
        <v>229</v>
      </c>
      <c r="Y435" s="114" t="s">
        <v>992</v>
      </c>
      <c r="Z435" s="122"/>
      <c r="AA435" s="116"/>
      <c r="AB435" s="123"/>
      <c r="AC435" s="123"/>
      <c r="AD435" s="124"/>
      <c r="AE435" s="124"/>
      <c r="AF435" s="119">
        <v>5.53349278651E11</v>
      </c>
      <c r="AG435" s="109"/>
      <c r="AH435" s="109"/>
    </row>
    <row r="436">
      <c r="A436" s="15">
        <v>444.0</v>
      </c>
      <c r="B436" s="47" t="s">
        <v>265</v>
      </c>
      <c r="C436" s="17" t="s">
        <v>116</v>
      </c>
      <c r="D436" s="121">
        <v>2.02501004565E12</v>
      </c>
      <c r="E436" s="121">
        <v>1.2242524803E10</v>
      </c>
      <c r="F436" s="114" t="s">
        <v>3499</v>
      </c>
      <c r="G436" s="114" t="s">
        <v>3500</v>
      </c>
      <c r="H436" s="114" t="s">
        <v>2276</v>
      </c>
      <c r="I436" s="114" t="s">
        <v>126</v>
      </c>
      <c r="J436" s="114" t="s">
        <v>1395</v>
      </c>
      <c r="K436" s="114">
        <v>123456.0</v>
      </c>
      <c r="L436" s="114">
        <v>7.009481528E9</v>
      </c>
      <c r="M436" s="114">
        <v>9.216352225E9</v>
      </c>
      <c r="N436" s="114">
        <v>9.814713053E9</v>
      </c>
      <c r="O436" s="115">
        <v>39114.0</v>
      </c>
      <c r="P436" s="114" t="s">
        <v>3501</v>
      </c>
      <c r="Q436" s="114" t="s">
        <v>3502</v>
      </c>
      <c r="R436" s="114" t="s">
        <v>135</v>
      </c>
      <c r="S436" s="114" t="s">
        <v>136</v>
      </c>
      <c r="T436" s="114">
        <v>143001.0</v>
      </c>
      <c r="U436" s="114" t="s">
        <v>2064</v>
      </c>
      <c r="V436" s="114" t="s">
        <v>156</v>
      </c>
      <c r="W436" s="126" t="s">
        <v>141</v>
      </c>
      <c r="X436" s="114" t="s">
        <v>506</v>
      </c>
      <c r="Y436" s="114" t="s">
        <v>992</v>
      </c>
      <c r="Z436" s="122"/>
      <c r="AA436" s="126" t="s">
        <v>3059</v>
      </c>
      <c r="AB436" s="123"/>
      <c r="AC436" s="123"/>
      <c r="AD436" s="124"/>
      <c r="AE436" s="124"/>
      <c r="AF436" s="125" t="s">
        <v>3503</v>
      </c>
      <c r="AG436" s="109"/>
      <c r="AH436" s="109"/>
    </row>
    <row r="437">
      <c r="A437" s="15">
        <v>445.0</v>
      </c>
      <c r="B437" s="47" t="s">
        <v>265</v>
      </c>
      <c r="C437" s="17" t="s">
        <v>116</v>
      </c>
      <c r="D437" s="113">
        <v>2.025010045668E12</v>
      </c>
      <c r="E437" s="113">
        <v>1.2242524804E10</v>
      </c>
      <c r="F437" s="114" t="s">
        <v>3504</v>
      </c>
      <c r="G437" s="114" t="s">
        <v>3505</v>
      </c>
      <c r="H437" s="114" t="s">
        <v>1407</v>
      </c>
      <c r="I437" s="114" t="s">
        <v>126</v>
      </c>
      <c r="J437" s="114" t="s">
        <v>1408</v>
      </c>
      <c r="K437" s="114">
        <v>123456.0</v>
      </c>
      <c r="L437" s="114">
        <v>7.508501653E9</v>
      </c>
      <c r="M437" s="114">
        <v>8.728001653E9</v>
      </c>
      <c r="N437" s="114">
        <v>9.103218067E9</v>
      </c>
      <c r="O437" s="115">
        <v>40030.0</v>
      </c>
      <c r="P437" s="114" t="s">
        <v>3506</v>
      </c>
      <c r="Q437" s="114" t="s">
        <v>3507</v>
      </c>
      <c r="R437" s="114" t="s">
        <v>1722</v>
      </c>
      <c r="S437" s="114" t="s">
        <v>136</v>
      </c>
      <c r="T437" s="114">
        <v>143115.0</v>
      </c>
      <c r="U437" s="114" t="s">
        <v>321</v>
      </c>
      <c r="V437" s="114" t="s">
        <v>156</v>
      </c>
      <c r="W437" s="126" t="s">
        <v>141</v>
      </c>
      <c r="X437" s="114" t="s">
        <v>3052</v>
      </c>
      <c r="Y437" s="114" t="s">
        <v>992</v>
      </c>
      <c r="Z437" s="122"/>
      <c r="AA437" s="116"/>
      <c r="AB437" s="123"/>
      <c r="AC437" s="123"/>
      <c r="AD437" s="124"/>
      <c r="AE437" s="124"/>
      <c r="AF437" s="119">
        <v>2.3788451511E11</v>
      </c>
      <c r="AG437" s="109"/>
      <c r="AH437" s="109"/>
    </row>
    <row r="438">
      <c r="A438" s="15">
        <v>446.0</v>
      </c>
      <c r="B438" s="47" t="s">
        <v>265</v>
      </c>
      <c r="C438" s="17" t="s">
        <v>116</v>
      </c>
      <c r="D438" s="121">
        <v>2.025010045669E12</v>
      </c>
      <c r="E438" s="121">
        <v>1.2242524805E10</v>
      </c>
      <c r="F438" s="114" t="s">
        <v>3508</v>
      </c>
      <c r="G438" s="114" t="s">
        <v>3509</v>
      </c>
      <c r="H438" s="114" t="s">
        <v>2247</v>
      </c>
      <c r="I438" s="114" t="s">
        <v>126</v>
      </c>
      <c r="J438" s="114" t="s">
        <v>3510</v>
      </c>
      <c r="K438" s="114">
        <v>123456.0</v>
      </c>
      <c r="L438" s="114">
        <v>6.2017575E9</v>
      </c>
      <c r="M438" s="114">
        <v>7.2960135E9</v>
      </c>
      <c r="N438" s="114">
        <v>7.48836089E9</v>
      </c>
      <c r="O438" s="115">
        <v>39166.0</v>
      </c>
      <c r="P438" s="114" t="s">
        <v>3511</v>
      </c>
      <c r="Q438" s="114" t="s">
        <v>3512</v>
      </c>
      <c r="R438" s="114" t="s">
        <v>135</v>
      </c>
      <c r="S438" s="114" t="s">
        <v>136</v>
      </c>
      <c r="T438" s="114">
        <v>143115.0</v>
      </c>
      <c r="U438" s="114" t="s">
        <v>2064</v>
      </c>
      <c r="V438" s="114" t="s">
        <v>156</v>
      </c>
      <c r="W438" s="126" t="s">
        <v>141</v>
      </c>
      <c r="X438" s="114" t="s">
        <v>3513</v>
      </c>
      <c r="Y438" s="114" t="s">
        <v>2780</v>
      </c>
      <c r="Z438" s="122"/>
      <c r="AA438" s="116"/>
      <c r="AB438" s="123"/>
      <c r="AC438" s="123"/>
      <c r="AD438" s="124"/>
      <c r="AE438" s="124"/>
      <c r="AF438" s="125">
        <v>3.27464157572E11</v>
      </c>
      <c r="AG438" s="109"/>
      <c r="AH438" s="109"/>
    </row>
    <row r="439">
      <c r="A439" s="15">
        <v>447.0</v>
      </c>
      <c r="B439" s="47" t="s">
        <v>265</v>
      </c>
      <c r="C439" s="17" t="s">
        <v>116</v>
      </c>
      <c r="D439" s="113">
        <v>2.025010048518E12</v>
      </c>
      <c r="E439" s="113">
        <v>1.2242524806E10</v>
      </c>
      <c r="F439" s="114" t="s">
        <v>1412</v>
      </c>
      <c r="G439" s="114" t="s">
        <v>1413</v>
      </c>
      <c r="H439" s="114" t="s">
        <v>3514</v>
      </c>
      <c r="I439" s="114" t="s">
        <v>164</v>
      </c>
      <c r="J439" s="114" t="s">
        <v>1415</v>
      </c>
      <c r="K439" s="114">
        <v>123456.0</v>
      </c>
      <c r="L439" s="114">
        <v>9.814301595E9</v>
      </c>
      <c r="M439" s="114">
        <v>9.814692345E9</v>
      </c>
      <c r="N439" s="114">
        <v>8.872135222E9</v>
      </c>
      <c r="O439" s="115">
        <v>39204.0</v>
      </c>
      <c r="P439" s="114" t="s">
        <v>3515</v>
      </c>
      <c r="Q439" s="114" t="s">
        <v>3516</v>
      </c>
      <c r="R439" s="114" t="s">
        <v>135</v>
      </c>
      <c r="S439" s="114" t="s">
        <v>136</v>
      </c>
      <c r="T439" s="114">
        <v>143001.0</v>
      </c>
      <c r="U439" s="114" t="s">
        <v>2064</v>
      </c>
      <c r="V439" s="114" t="s">
        <v>66</v>
      </c>
      <c r="W439" s="126" t="s">
        <v>141</v>
      </c>
      <c r="X439" s="114" t="s">
        <v>221</v>
      </c>
      <c r="Y439" s="114" t="s">
        <v>992</v>
      </c>
      <c r="Z439" s="122"/>
      <c r="AA439" s="126" t="s">
        <v>3059</v>
      </c>
      <c r="AB439" s="123"/>
      <c r="AC439" s="123"/>
      <c r="AD439" s="124"/>
      <c r="AE439" s="124"/>
      <c r="AF439" s="119">
        <v>4.77927602131E11</v>
      </c>
      <c r="AG439" s="109"/>
      <c r="AH439" s="109"/>
    </row>
    <row r="440">
      <c r="A440" s="15">
        <v>448.0</v>
      </c>
      <c r="B440" s="47" t="s">
        <v>265</v>
      </c>
      <c r="C440" s="17" t="s">
        <v>116</v>
      </c>
      <c r="D440" s="120">
        <v>2.025010048528E12</v>
      </c>
      <c r="E440" s="121">
        <v>1.2242524807E10</v>
      </c>
      <c r="F440" s="114" t="s">
        <v>3517</v>
      </c>
      <c r="G440" s="114" t="s">
        <v>3518</v>
      </c>
      <c r="H440" s="114" t="s">
        <v>1423</v>
      </c>
      <c r="I440" s="114" t="s">
        <v>126</v>
      </c>
      <c r="J440" s="114" t="s">
        <v>1424</v>
      </c>
      <c r="K440" s="114">
        <v>123456.0</v>
      </c>
      <c r="L440" s="114">
        <v>8.427208239E9</v>
      </c>
      <c r="M440" s="114">
        <v>9.81524193E9</v>
      </c>
      <c r="N440" s="114">
        <v>9.87291831E9</v>
      </c>
      <c r="O440" s="115">
        <v>39293.0</v>
      </c>
      <c r="P440" s="114" t="s">
        <v>3519</v>
      </c>
      <c r="Q440" s="114" t="s">
        <v>3520</v>
      </c>
      <c r="R440" s="114" t="s">
        <v>246</v>
      </c>
      <c r="S440" s="114" t="s">
        <v>136</v>
      </c>
      <c r="T440" s="114">
        <v>145001.0</v>
      </c>
      <c r="U440" s="114" t="s">
        <v>991</v>
      </c>
      <c r="V440" s="114" t="s">
        <v>156</v>
      </c>
      <c r="W440" s="126" t="s">
        <v>141</v>
      </c>
      <c r="X440" s="114" t="s">
        <v>143</v>
      </c>
      <c r="Y440" s="114" t="s">
        <v>2642</v>
      </c>
      <c r="Z440" s="122"/>
      <c r="AA440" s="116"/>
      <c r="AB440" s="123"/>
      <c r="AC440" s="123"/>
      <c r="AD440" s="124"/>
      <c r="AE440" s="124"/>
      <c r="AF440" s="125">
        <v>3.36119319864E11</v>
      </c>
      <c r="AG440" s="109"/>
      <c r="AH440" s="109"/>
    </row>
    <row r="441">
      <c r="A441" s="15">
        <v>449.0</v>
      </c>
      <c r="B441" s="47" t="s">
        <v>265</v>
      </c>
      <c r="C441" s="17" t="s">
        <v>116</v>
      </c>
      <c r="D441" s="113">
        <v>2.025010049181E12</v>
      </c>
      <c r="E441" s="113">
        <v>1.2242524808E10</v>
      </c>
      <c r="F441" s="114" t="s">
        <v>3521</v>
      </c>
      <c r="G441" s="114" t="s">
        <v>233</v>
      </c>
      <c r="H441" s="114" t="s">
        <v>1431</v>
      </c>
      <c r="I441" s="114" t="s">
        <v>126</v>
      </c>
      <c r="J441" s="114" t="s">
        <v>1433</v>
      </c>
      <c r="K441" s="114">
        <v>123456.0</v>
      </c>
      <c r="L441" s="114">
        <v>7.973650967E9</v>
      </c>
      <c r="M441" s="114">
        <v>9.501848648E9</v>
      </c>
      <c r="N441" s="114">
        <v>8.968312187E9</v>
      </c>
      <c r="O441" s="115">
        <v>39221.0</v>
      </c>
      <c r="P441" s="114" t="s">
        <v>3522</v>
      </c>
      <c r="Q441" s="114" t="s">
        <v>3523</v>
      </c>
      <c r="R441" s="114" t="s">
        <v>135</v>
      </c>
      <c r="S441" s="114" t="s">
        <v>136</v>
      </c>
      <c r="T441" s="114">
        <v>143001.0</v>
      </c>
      <c r="U441" s="114" t="s">
        <v>321</v>
      </c>
      <c r="V441" s="114" t="s">
        <v>156</v>
      </c>
      <c r="W441" s="126" t="s">
        <v>141</v>
      </c>
      <c r="X441" s="114" t="s">
        <v>229</v>
      </c>
      <c r="Y441" s="114" t="s">
        <v>2642</v>
      </c>
      <c r="Z441" s="122"/>
      <c r="AA441" s="116"/>
      <c r="AB441" s="123"/>
      <c r="AC441" s="123"/>
      <c r="AD441" s="124"/>
      <c r="AE441" s="124"/>
      <c r="AF441" s="119">
        <v>3.46635366013E11</v>
      </c>
      <c r="AG441" s="109"/>
      <c r="AH441" s="109"/>
    </row>
    <row r="442">
      <c r="A442" s="15">
        <v>450.0</v>
      </c>
      <c r="B442" s="47" t="s">
        <v>265</v>
      </c>
      <c r="C442" s="17" t="s">
        <v>116</v>
      </c>
      <c r="D442" s="120">
        <v>2.025010050092E12</v>
      </c>
      <c r="E442" s="121">
        <v>1.2242524809E10</v>
      </c>
      <c r="F442" s="114" t="s">
        <v>1335</v>
      </c>
      <c r="G442" s="114" t="s">
        <v>3325</v>
      </c>
      <c r="H442" s="114" t="s">
        <v>1441</v>
      </c>
      <c r="I442" s="114" t="s">
        <v>126</v>
      </c>
      <c r="J442" s="114" t="s">
        <v>1442</v>
      </c>
      <c r="K442" s="114">
        <v>123456.0</v>
      </c>
      <c r="L442" s="114">
        <v>7.814095923E9</v>
      </c>
      <c r="M442" s="114">
        <v>9.779358879E9</v>
      </c>
      <c r="N442" s="114">
        <v>8.872651332E9</v>
      </c>
      <c r="O442" s="115">
        <v>39907.0</v>
      </c>
      <c r="P442" s="114" t="s">
        <v>3524</v>
      </c>
      <c r="Q442" s="114" t="s">
        <v>3525</v>
      </c>
      <c r="R442" s="114" t="s">
        <v>716</v>
      </c>
      <c r="S442" s="114" t="s">
        <v>136</v>
      </c>
      <c r="T442" s="114">
        <v>143401.0</v>
      </c>
      <c r="U442" s="114" t="s">
        <v>321</v>
      </c>
      <c r="V442" s="114" t="s">
        <v>156</v>
      </c>
      <c r="W442" s="126" t="s">
        <v>141</v>
      </c>
      <c r="X442" s="114" t="s">
        <v>3526</v>
      </c>
      <c r="Y442" s="114" t="s">
        <v>992</v>
      </c>
      <c r="Z442" s="122"/>
      <c r="AA442" s="116"/>
      <c r="AB442" s="123"/>
      <c r="AC442" s="123"/>
      <c r="AD442" s="124"/>
      <c r="AE442" s="124"/>
      <c r="AF442" s="125">
        <v>5.50413116443E11</v>
      </c>
      <c r="AG442" s="109"/>
      <c r="AH442" s="109"/>
    </row>
    <row r="443">
      <c r="A443" s="15">
        <v>451.0</v>
      </c>
      <c r="B443" s="47" t="s">
        <v>265</v>
      </c>
      <c r="C443" s="17" t="s">
        <v>116</v>
      </c>
      <c r="D443" s="113">
        <v>2.025010050236E12</v>
      </c>
      <c r="E443" s="113">
        <v>1.224252481E10</v>
      </c>
      <c r="F443" s="114" t="s">
        <v>3527</v>
      </c>
      <c r="G443" s="114" t="s">
        <v>3528</v>
      </c>
      <c r="H443" s="114" t="s">
        <v>1451</v>
      </c>
      <c r="I443" s="114" t="s">
        <v>164</v>
      </c>
      <c r="J443" s="114" t="s">
        <v>1453</v>
      </c>
      <c r="K443" s="114">
        <v>123456.0</v>
      </c>
      <c r="L443" s="114">
        <v>8.728905167E9</v>
      </c>
      <c r="M443" s="114">
        <v>7.009482744E9</v>
      </c>
      <c r="N443" s="114">
        <v>7.888727872E9</v>
      </c>
      <c r="O443" s="115">
        <v>39178.0</v>
      </c>
      <c r="P443" s="114" t="s">
        <v>3529</v>
      </c>
      <c r="Q443" s="114" t="s">
        <v>3530</v>
      </c>
      <c r="R443" s="114" t="s">
        <v>135</v>
      </c>
      <c r="S443" s="114" t="s">
        <v>136</v>
      </c>
      <c r="T443" s="114">
        <v>143001.0</v>
      </c>
      <c r="U443" s="114" t="s">
        <v>321</v>
      </c>
      <c r="V443" s="114" t="s">
        <v>66</v>
      </c>
      <c r="W443" s="126" t="s">
        <v>141</v>
      </c>
      <c r="X443" s="114" t="s">
        <v>3480</v>
      </c>
      <c r="Y443" s="114" t="s">
        <v>992</v>
      </c>
      <c r="Z443" s="122"/>
      <c r="AA443" s="116"/>
      <c r="AB443" s="123"/>
      <c r="AC443" s="123"/>
      <c r="AD443" s="124"/>
      <c r="AE443" s="124"/>
      <c r="AF443" s="119" t="s">
        <v>3531</v>
      </c>
      <c r="AG443" s="109"/>
      <c r="AH443" s="109"/>
    </row>
    <row r="444">
      <c r="A444" s="15">
        <v>452.0</v>
      </c>
      <c r="B444" s="47" t="s">
        <v>265</v>
      </c>
      <c r="C444" s="17" t="s">
        <v>116</v>
      </c>
      <c r="D444" s="121">
        <v>2.025010052265E12</v>
      </c>
      <c r="E444" s="121">
        <v>1.2242524811E10</v>
      </c>
      <c r="F444" s="114" t="s">
        <v>3532</v>
      </c>
      <c r="G444" s="114" t="s">
        <v>3533</v>
      </c>
      <c r="H444" s="114" t="s">
        <v>3534</v>
      </c>
      <c r="I444" s="114" t="s">
        <v>164</v>
      </c>
      <c r="J444" s="114" t="s">
        <v>1461</v>
      </c>
      <c r="K444" s="114">
        <v>123456.0</v>
      </c>
      <c r="L444" s="114">
        <v>7.889243839E9</v>
      </c>
      <c r="M444" s="114">
        <v>7.837121006E9</v>
      </c>
      <c r="N444" s="114">
        <v>7.973328414E9</v>
      </c>
      <c r="O444" s="115">
        <v>39168.0</v>
      </c>
      <c r="P444" s="114" t="s">
        <v>3535</v>
      </c>
      <c r="Q444" s="114" t="s">
        <v>3536</v>
      </c>
      <c r="R444" s="114" t="s">
        <v>135</v>
      </c>
      <c r="S444" s="114" t="s">
        <v>136</v>
      </c>
      <c r="T444" s="114">
        <v>143115.0</v>
      </c>
      <c r="U444" s="114" t="s">
        <v>1598</v>
      </c>
      <c r="V444" s="114" t="s">
        <v>66</v>
      </c>
      <c r="W444" s="126" t="s">
        <v>141</v>
      </c>
      <c r="X444" s="114" t="s">
        <v>208</v>
      </c>
      <c r="Y444" s="114" t="s">
        <v>992</v>
      </c>
      <c r="Z444" s="114" t="s">
        <v>80</v>
      </c>
      <c r="AA444" s="116"/>
      <c r="AB444" s="123"/>
      <c r="AC444" s="123"/>
      <c r="AD444" s="124"/>
      <c r="AE444" s="124"/>
      <c r="AF444" s="125">
        <v>3.76738326876E11</v>
      </c>
      <c r="AG444" s="109"/>
      <c r="AH444" s="109"/>
    </row>
    <row r="445">
      <c r="A445" s="15">
        <v>453.0</v>
      </c>
      <c r="B445" s="47" t="s">
        <v>265</v>
      </c>
      <c r="C445" s="17" t="s">
        <v>116</v>
      </c>
      <c r="D445" s="113">
        <v>2.025010053072E12</v>
      </c>
      <c r="E445" s="113">
        <v>1.2242524812E10</v>
      </c>
      <c r="F445" s="114" t="s">
        <v>3537</v>
      </c>
      <c r="G445" s="114" t="s">
        <v>3538</v>
      </c>
      <c r="H445" s="114" t="s">
        <v>3539</v>
      </c>
      <c r="I445" s="114" t="s">
        <v>126</v>
      </c>
      <c r="J445" s="114" t="s">
        <v>1473</v>
      </c>
      <c r="K445" s="114">
        <v>123456.0</v>
      </c>
      <c r="L445" s="114">
        <v>9.779359761E9</v>
      </c>
      <c r="M445" s="114">
        <v>9.77948422E9</v>
      </c>
      <c r="N445" s="114">
        <v>7.087255937E9</v>
      </c>
      <c r="O445" s="115">
        <v>39404.0</v>
      </c>
      <c r="P445" s="114" t="s">
        <v>3540</v>
      </c>
      <c r="Q445" s="114" t="s">
        <v>3541</v>
      </c>
      <c r="R445" s="114" t="s">
        <v>1722</v>
      </c>
      <c r="S445" s="114" t="s">
        <v>136</v>
      </c>
      <c r="T445" s="114">
        <v>143116.0</v>
      </c>
      <c r="U445" s="114" t="s">
        <v>991</v>
      </c>
      <c r="V445" s="114" t="s">
        <v>156</v>
      </c>
      <c r="W445" s="126" t="s">
        <v>141</v>
      </c>
      <c r="X445" s="114" t="s">
        <v>229</v>
      </c>
      <c r="Y445" s="114" t="s">
        <v>2780</v>
      </c>
      <c r="Z445" s="114" t="s">
        <v>80</v>
      </c>
      <c r="AA445" s="126" t="s">
        <v>3059</v>
      </c>
      <c r="AB445" s="123"/>
      <c r="AC445" s="123"/>
      <c r="AD445" s="124"/>
      <c r="AE445" s="124"/>
      <c r="AF445" s="119">
        <v>4.75210754902E11</v>
      </c>
      <c r="AG445" s="109"/>
      <c r="AH445" s="109"/>
    </row>
    <row r="446">
      <c r="A446" s="15">
        <v>454.0</v>
      </c>
      <c r="B446" s="47" t="s">
        <v>265</v>
      </c>
      <c r="C446" s="17" t="s">
        <v>116</v>
      </c>
      <c r="D446" s="121">
        <v>2.025010045701E12</v>
      </c>
      <c r="E446" s="121">
        <v>1.2242524813E10</v>
      </c>
      <c r="F446" s="114" t="s">
        <v>3542</v>
      </c>
      <c r="G446" s="114" t="s">
        <v>3543</v>
      </c>
      <c r="H446" s="114" t="s">
        <v>1482</v>
      </c>
      <c r="I446" s="114" t="s">
        <v>126</v>
      </c>
      <c r="J446" s="114" t="s">
        <v>1483</v>
      </c>
      <c r="K446" s="114">
        <v>123456.0</v>
      </c>
      <c r="L446" s="114">
        <v>6.006826698E9</v>
      </c>
      <c r="M446" s="114">
        <v>7.051442126E9</v>
      </c>
      <c r="N446" s="114">
        <v>6.006692052E9</v>
      </c>
      <c r="O446" s="115">
        <v>38824.0</v>
      </c>
      <c r="P446" s="114" t="s">
        <v>3544</v>
      </c>
      <c r="Q446" s="114" t="s">
        <v>3545</v>
      </c>
      <c r="R446" s="114" t="s">
        <v>3546</v>
      </c>
      <c r="S446" s="114" t="s">
        <v>3547</v>
      </c>
      <c r="T446" s="114">
        <v>194101.0</v>
      </c>
      <c r="U446" s="114" t="s">
        <v>3548</v>
      </c>
      <c r="V446" s="114" t="s">
        <v>156</v>
      </c>
      <c r="W446" s="126" t="s">
        <v>141</v>
      </c>
      <c r="X446" s="114" t="s">
        <v>3549</v>
      </c>
      <c r="Y446" s="114" t="s">
        <v>3550</v>
      </c>
      <c r="Z446" s="122"/>
      <c r="AA446" s="116"/>
      <c r="AB446" s="123"/>
      <c r="AC446" s="123"/>
      <c r="AD446" s="124"/>
      <c r="AE446" s="124"/>
      <c r="AF446" s="125">
        <v>8.75113718836E11</v>
      </c>
      <c r="AG446" s="109"/>
      <c r="AH446" s="109"/>
    </row>
    <row r="447">
      <c r="A447" s="15">
        <v>455.0</v>
      </c>
      <c r="B447" s="47" t="s">
        <v>265</v>
      </c>
      <c r="C447" s="17" t="s">
        <v>116</v>
      </c>
      <c r="D447" s="113">
        <v>2.025010045702E12</v>
      </c>
      <c r="E447" s="113">
        <v>1.2242524814E10</v>
      </c>
      <c r="F447" s="114" t="s">
        <v>3551</v>
      </c>
      <c r="G447" s="114" t="s">
        <v>3552</v>
      </c>
      <c r="H447" s="114" t="s">
        <v>1494</v>
      </c>
      <c r="I447" s="114" t="s">
        <v>126</v>
      </c>
      <c r="J447" s="114" t="s">
        <v>1495</v>
      </c>
      <c r="K447" s="114">
        <v>123456.0</v>
      </c>
      <c r="L447" s="114">
        <v>7.004146088E9</v>
      </c>
      <c r="M447" s="114">
        <v>9.123447955E9</v>
      </c>
      <c r="N447" s="114">
        <v>8.252734393E9</v>
      </c>
      <c r="O447" s="115">
        <v>39252.0</v>
      </c>
      <c r="P447" s="114" t="s">
        <v>3553</v>
      </c>
      <c r="Q447" s="114" t="s">
        <v>3554</v>
      </c>
      <c r="R447" s="114" t="s">
        <v>3555</v>
      </c>
      <c r="S447" s="114" t="s">
        <v>3556</v>
      </c>
      <c r="T447" s="114">
        <v>855107.0</v>
      </c>
      <c r="U447" s="114" t="s">
        <v>3557</v>
      </c>
      <c r="V447" s="114" t="s">
        <v>156</v>
      </c>
      <c r="W447" s="126" t="s">
        <v>141</v>
      </c>
      <c r="X447" s="114" t="s">
        <v>229</v>
      </c>
      <c r="Y447" s="114" t="s">
        <v>3558</v>
      </c>
      <c r="Z447" s="122"/>
      <c r="AA447" s="116"/>
      <c r="AB447" s="123"/>
      <c r="AC447" s="123"/>
      <c r="AD447" s="124"/>
      <c r="AE447" s="124"/>
      <c r="AF447" s="119">
        <v>3.2745626014E11</v>
      </c>
      <c r="AG447" s="109"/>
      <c r="AH447" s="109"/>
    </row>
    <row r="448">
      <c r="A448" s="15">
        <v>456.0</v>
      </c>
      <c r="B448" s="47" t="s">
        <v>265</v>
      </c>
      <c r="C448" s="17" t="s">
        <v>116</v>
      </c>
      <c r="D448" s="121">
        <v>2.025010047629E12</v>
      </c>
      <c r="E448" s="121">
        <v>1.2242524815E10</v>
      </c>
      <c r="F448" s="114" t="s">
        <v>3559</v>
      </c>
      <c r="G448" s="114" t="s">
        <v>3560</v>
      </c>
      <c r="H448" s="114" t="s">
        <v>1502</v>
      </c>
      <c r="I448" s="114" t="s">
        <v>126</v>
      </c>
      <c r="J448" s="114" t="s">
        <v>1503</v>
      </c>
      <c r="K448" s="114">
        <v>123456.0</v>
      </c>
      <c r="L448" s="114">
        <v>9.204404294E9</v>
      </c>
      <c r="M448" s="114">
        <v>9.006931724E9</v>
      </c>
      <c r="N448" s="114">
        <v>7.033339465E9</v>
      </c>
      <c r="O448" s="115">
        <v>38981.0</v>
      </c>
      <c r="P448" s="114" t="s">
        <v>3561</v>
      </c>
      <c r="Q448" s="114" t="s">
        <v>3562</v>
      </c>
      <c r="R448" s="114" t="s">
        <v>3563</v>
      </c>
      <c r="S448" s="114" t="s">
        <v>3556</v>
      </c>
      <c r="T448" s="114">
        <v>800008.0</v>
      </c>
      <c r="U448" s="114" t="s">
        <v>2064</v>
      </c>
      <c r="V448" s="114" t="s">
        <v>156</v>
      </c>
      <c r="W448" s="126" t="s">
        <v>141</v>
      </c>
      <c r="X448" s="114" t="s">
        <v>143</v>
      </c>
      <c r="Y448" s="114" t="s">
        <v>992</v>
      </c>
      <c r="Z448" s="122"/>
      <c r="AA448" s="116"/>
      <c r="AB448" s="123"/>
      <c r="AC448" s="123"/>
      <c r="AD448" s="124"/>
      <c r="AE448" s="124"/>
      <c r="AF448" s="125">
        <v>5.64294022219E11</v>
      </c>
      <c r="AG448" s="109"/>
      <c r="AH448" s="109"/>
    </row>
    <row r="449">
      <c r="A449" s="15">
        <v>457.0</v>
      </c>
      <c r="B449" s="47" t="s">
        <v>265</v>
      </c>
      <c r="C449" s="17" t="s">
        <v>116</v>
      </c>
      <c r="D449" s="113">
        <v>2.025010047954E12</v>
      </c>
      <c r="E449" s="113">
        <v>1.2242524816E10</v>
      </c>
      <c r="F449" s="114" t="s">
        <v>3564</v>
      </c>
      <c r="G449" s="114" t="s">
        <v>3565</v>
      </c>
      <c r="H449" s="114" t="s">
        <v>1511</v>
      </c>
      <c r="I449" s="114" t="s">
        <v>164</v>
      </c>
      <c r="J449" s="114" t="s">
        <v>1512</v>
      </c>
      <c r="K449" s="114">
        <v>123456.0</v>
      </c>
      <c r="L449" s="114">
        <v>8.264527202E9</v>
      </c>
      <c r="M449" s="114">
        <v>8.872015579E9</v>
      </c>
      <c r="N449" s="114">
        <v>8.360356579E9</v>
      </c>
      <c r="O449" s="115">
        <v>37816.0</v>
      </c>
      <c r="P449" s="114" t="s">
        <v>3566</v>
      </c>
      <c r="Q449" s="114" t="s">
        <v>3567</v>
      </c>
      <c r="R449" s="114" t="s">
        <v>135</v>
      </c>
      <c r="S449" s="114" t="s">
        <v>136</v>
      </c>
      <c r="T449" s="114">
        <v>143001.0</v>
      </c>
      <c r="U449" s="114" t="s">
        <v>2064</v>
      </c>
      <c r="V449" s="114" t="s">
        <v>66</v>
      </c>
      <c r="W449" s="126" t="s">
        <v>141</v>
      </c>
      <c r="X449" s="114" t="s">
        <v>208</v>
      </c>
      <c r="Y449" s="114" t="s">
        <v>992</v>
      </c>
      <c r="Z449" s="122"/>
      <c r="AA449" s="116"/>
      <c r="AB449" s="123"/>
      <c r="AC449" s="123"/>
      <c r="AD449" s="124"/>
      <c r="AE449" s="124"/>
      <c r="AF449" s="119">
        <v>3.85260557675E11</v>
      </c>
      <c r="AG449" s="109"/>
      <c r="AH449" s="109"/>
    </row>
    <row r="450">
      <c r="A450" s="15">
        <v>458.0</v>
      </c>
      <c r="B450" s="47" t="s">
        <v>265</v>
      </c>
      <c r="C450" s="17" t="s">
        <v>116</v>
      </c>
      <c r="D450" s="121">
        <v>2.025010045593E12</v>
      </c>
      <c r="E450" s="121">
        <v>1.2242524817E10</v>
      </c>
      <c r="F450" s="114" t="s">
        <v>3568</v>
      </c>
      <c r="G450" s="114" t="s">
        <v>3569</v>
      </c>
      <c r="H450" s="114" t="s">
        <v>1520</v>
      </c>
      <c r="I450" s="114" t="s">
        <v>164</v>
      </c>
      <c r="J450" s="114" t="s">
        <v>1521</v>
      </c>
      <c r="K450" s="114">
        <v>123456.0</v>
      </c>
      <c r="L450" s="114">
        <v>9.906280711E9</v>
      </c>
      <c r="M450" s="114">
        <v>7.889583027E9</v>
      </c>
      <c r="N450" s="114">
        <v>6.005360854E9</v>
      </c>
      <c r="O450" s="115">
        <v>39486.0</v>
      </c>
      <c r="P450" s="114" t="s">
        <v>3570</v>
      </c>
      <c r="Q450" s="114" t="s">
        <v>3571</v>
      </c>
      <c r="R450" s="114" t="s">
        <v>1971</v>
      </c>
      <c r="S450" s="114" t="s">
        <v>1972</v>
      </c>
      <c r="T450" s="114">
        <v>182141.0</v>
      </c>
      <c r="U450" s="114" t="s">
        <v>2064</v>
      </c>
      <c r="V450" s="114" t="s">
        <v>66</v>
      </c>
      <c r="W450" s="126" t="s">
        <v>141</v>
      </c>
      <c r="X450" s="114" t="s">
        <v>3572</v>
      </c>
      <c r="Y450" s="114" t="s">
        <v>2642</v>
      </c>
      <c r="Z450" s="122"/>
      <c r="AA450" s="116"/>
      <c r="AB450" s="123"/>
      <c r="AC450" s="123"/>
      <c r="AD450" s="124"/>
      <c r="AE450" s="124"/>
      <c r="AF450" s="125">
        <v>5.96811521655E11</v>
      </c>
      <c r="AG450" s="109"/>
      <c r="AH450" s="109"/>
    </row>
    <row r="451">
      <c r="A451" s="15">
        <v>459.0</v>
      </c>
      <c r="B451" s="47" t="s">
        <v>265</v>
      </c>
      <c r="C451" s="17" t="s">
        <v>116</v>
      </c>
      <c r="D451" s="113">
        <v>2.025010052637E12</v>
      </c>
      <c r="E451" s="113">
        <v>1.2242524819E10</v>
      </c>
      <c r="F451" s="114" t="s">
        <v>3573</v>
      </c>
      <c r="G451" s="114" t="s">
        <v>3574</v>
      </c>
      <c r="H451" s="114" t="s">
        <v>1540</v>
      </c>
      <c r="I451" s="114" t="s">
        <v>164</v>
      </c>
      <c r="J451" s="114" t="s">
        <v>3575</v>
      </c>
      <c r="K451" s="114">
        <v>123456.0</v>
      </c>
      <c r="L451" s="114">
        <v>7.97330979E9</v>
      </c>
      <c r="M451" s="114">
        <v>9.914159712E9</v>
      </c>
      <c r="N451" s="114">
        <v>9.888509712E9</v>
      </c>
      <c r="O451" s="115">
        <v>39232.0</v>
      </c>
      <c r="P451" s="114" t="s">
        <v>3576</v>
      </c>
      <c r="Q451" s="114" t="s">
        <v>3577</v>
      </c>
      <c r="R451" s="114" t="s">
        <v>646</v>
      </c>
      <c r="S451" s="114" t="s">
        <v>136</v>
      </c>
      <c r="T451" s="114">
        <v>143505.0</v>
      </c>
      <c r="U451" s="114" t="s">
        <v>2064</v>
      </c>
      <c r="V451" s="114" t="s">
        <v>66</v>
      </c>
      <c r="W451" s="126" t="s">
        <v>141</v>
      </c>
      <c r="X451" s="114" t="s">
        <v>208</v>
      </c>
      <c r="Y451" s="114" t="s">
        <v>2642</v>
      </c>
      <c r="Z451" s="122"/>
      <c r="AA451" s="126" t="s">
        <v>3059</v>
      </c>
      <c r="AB451" s="123"/>
      <c r="AC451" s="123"/>
      <c r="AD451" s="124"/>
      <c r="AE451" s="124"/>
      <c r="AF451" s="119">
        <v>6.98662323958E11</v>
      </c>
      <c r="AG451" s="109"/>
      <c r="AH451" s="109"/>
    </row>
    <row r="452">
      <c r="A452" s="15">
        <v>460.0</v>
      </c>
      <c r="B452" s="47" t="s">
        <v>265</v>
      </c>
      <c r="C452" s="17" t="s">
        <v>116</v>
      </c>
      <c r="D452" s="121">
        <v>2.025010053931E12</v>
      </c>
      <c r="E452" s="121">
        <v>1.224252482E10</v>
      </c>
      <c r="F452" s="114" t="s">
        <v>1551</v>
      </c>
      <c r="G452" s="114" t="s">
        <v>1552</v>
      </c>
      <c r="H452" s="114" t="s">
        <v>3578</v>
      </c>
      <c r="I452" s="114" t="s">
        <v>126</v>
      </c>
      <c r="J452" s="114" t="s">
        <v>1554</v>
      </c>
      <c r="K452" s="114">
        <v>123456.0</v>
      </c>
      <c r="L452" s="114">
        <v>7.889021844E9</v>
      </c>
      <c r="M452" s="114">
        <v>9.7811414E9</v>
      </c>
      <c r="N452" s="114">
        <v>7.696068515E9</v>
      </c>
      <c r="O452" s="115">
        <v>38531.0</v>
      </c>
      <c r="P452" s="114" t="s">
        <v>3579</v>
      </c>
      <c r="Q452" s="114" t="s">
        <v>3580</v>
      </c>
      <c r="R452" s="114" t="s">
        <v>135</v>
      </c>
      <c r="S452" s="114" t="s">
        <v>136</v>
      </c>
      <c r="T452" s="114">
        <v>143001.0</v>
      </c>
      <c r="U452" s="114" t="s">
        <v>2064</v>
      </c>
      <c r="V452" s="114" t="s">
        <v>2650</v>
      </c>
      <c r="W452" s="126" t="s">
        <v>141</v>
      </c>
      <c r="X452" s="114" t="s">
        <v>143</v>
      </c>
      <c r="Y452" s="114" t="s">
        <v>3581</v>
      </c>
      <c r="Z452" s="122"/>
      <c r="AA452" s="126" t="s">
        <v>3059</v>
      </c>
      <c r="AB452" s="123"/>
      <c r="AC452" s="123"/>
      <c r="AD452" s="124"/>
      <c r="AE452" s="124"/>
      <c r="AF452" s="125">
        <v>4.51792368026E11</v>
      </c>
      <c r="AG452" s="109"/>
      <c r="AH452" s="109"/>
    </row>
    <row r="453">
      <c r="A453" s="15">
        <v>461.0</v>
      </c>
      <c r="B453" s="47" t="s">
        <v>265</v>
      </c>
      <c r="C453" s="17" t="s">
        <v>116</v>
      </c>
      <c r="D453" s="48"/>
      <c r="E453" s="49"/>
      <c r="F453" s="135"/>
      <c r="G453" s="135"/>
      <c r="H453" s="135"/>
      <c r="I453" s="136"/>
      <c r="J453" s="136"/>
      <c r="K453" s="137"/>
      <c r="L453" s="138"/>
      <c r="M453" s="137"/>
      <c r="N453" s="118"/>
      <c r="O453" s="118"/>
      <c r="P453" s="118"/>
      <c r="Q453" s="136"/>
      <c r="R453" s="139"/>
      <c r="S453" s="139"/>
      <c r="T453" s="140"/>
      <c r="U453" s="140"/>
      <c r="V453" s="136"/>
      <c r="W453" s="137"/>
      <c r="X453" s="123"/>
      <c r="Y453" s="123"/>
      <c r="Z453" s="123"/>
      <c r="AA453" s="141"/>
      <c r="AB453" s="123"/>
      <c r="AC453" s="123"/>
      <c r="AD453" s="124"/>
      <c r="AE453" s="124"/>
      <c r="AF453" s="106"/>
      <c r="AG453" s="109"/>
      <c r="AH453" s="109"/>
    </row>
    <row r="454">
      <c r="A454" s="15">
        <v>462.0</v>
      </c>
      <c r="B454" s="47" t="s">
        <v>265</v>
      </c>
      <c r="C454" s="17" t="s">
        <v>116</v>
      </c>
      <c r="D454" s="48"/>
      <c r="E454" s="49"/>
      <c r="F454" s="135"/>
      <c r="G454" s="135"/>
      <c r="H454" s="135"/>
      <c r="I454" s="136"/>
      <c r="J454" s="136"/>
      <c r="K454" s="137"/>
      <c r="L454" s="138"/>
      <c r="M454" s="137"/>
      <c r="N454" s="118"/>
      <c r="O454" s="118"/>
      <c r="P454" s="118"/>
      <c r="Q454" s="136"/>
      <c r="R454" s="139"/>
      <c r="S454" s="139"/>
      <c r="T454" s="140"/>
      <c r="U454" s="140"/>
      <c r="V454" s="136"/>
      <c r="W454" s="137"/>
      <c r="X454" s="123"/>
      <c r="Y454" s="123"/>
      <c r="Z454" s="123"/>
      <c r="AA454" s="141"/>
      <c r="AB454" s="123"/>
      <c r="AC454" s="123"/>
      <c r="AD454" s="124"/>
      <c r="AE454" s="124"/>
      <c r="AF454" s="106"/>
      <c r="AG454" s="109"/>
      <c r="AH454" s="109"/>
    </row>
    <row r="455">
      <c r="E455" s="142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  <c r="AB455" s="116"/>
      <c r="AC455" s="116"/>
      <c r="AD455" s="109"/>
      <c r="AE455" s="109"/>
      <c r="AF455" s="109"/>
      <c r="AG455" s="109"/>
      <c r="AH455" s="109"/>
    </row>
    <row r="456">
      <c r="E456" s="142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  <c r="AB456" s="116"/>
      <c r="AC456" s="116"/>
      <c r="AD456" s="109"/>
      <c r="AE456" s="109"/>
      <c r="AF456" s="109"/>
      <c r="AG456" s="109"/>
      <c r="AH456" s="109"/>
    </row>
    <row r="457">
      <c r="E457" s="142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  <c r="AB457" s="116"/>
      <c r="AC457" s="116"/>
    </row>
    <row r="458">
      <c r="E458" s="142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  <c r="AB458" s="116"/>
      <c r="AC458" s="116"/>
    </row>
    <row r="459">
      <c r="E459" s="142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  <c r="AB459" s="116"/>
      <c r="AC459" s="116"/>
    </row>
    <row r="460">
      <c r="E460" s="142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  <c r="AB460" s="116"/>
      <c r="AC460" s="116"/>
    </row>
    <row r="461">
      <c r="E461" s="142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  <c r="AB461" s="116"/>
      <c r="AC461" s="116"/>
    </row>
    <row r="462">
      <c r="E462" s="142"/>
    </row>
    <row r="463">
      <c r="E463" s="142"/>
    </row>
    <row r="464">
      <c r="E464" s="142"/>
    </row>
    <row r="465">
      <c r="E465" s="142"/>
    </row>
    <row r="466">
      <c r="E466" s="142"/>
    </row>
    <row r="467">
      <c r="E467" s="142"/>
    </row>
    <row r="468">
      <c r="E468" s="142"/>
    </row>
    <row r="469">
      <c r="E469" s="142"/>
    </row>
    <row r="470">
      <c r="E470" s="142"/>
    </row>
    <row r="471">
      <c r="E471" s="142"/>
    </row>
    <row r="472">
      <c r="E472" s="142"/>
    </row>
    <row r="473">
      <c r="E473" s="142"/>
    </row>
    <row r="474">
      <c r="E474" s="142"/>
    </row>
    <row r="475">
      <c r="E475" s="142"/>
    </row>
    <row r="476">
      <c r="E476" s="142"/>
    </row>
    <row r="477">
      <c r="E477" s="142"/>
    </row>
    <row r="478">
      <c r="E478" s="142"/>
    </row>
    <row r="479">
      <c r="E479" s="142"/>
    </row>
    <row r="480">
      <c r="E480" s="142"/>
    </row>
    <row r="481">
      <c r="E481" s="142"/>
    </row>
    <row r="482">
      <c r="E482" s="142"/>
    </row>
    <row r="483">
      <c r="E483" s="142"/>
    </row>
    <row r="484">
      <c r="E484" s="142"/>
    </row>
    <row r="485">
      <c r="E485" s="142"/>
    </row>
    <row r="486">
      <c r="E486" s="142"/>
    </row>
    <row r="487">
      <c r="E487" s="142"/>
    </row>
    <row r="488">
      <c r="E488" s="142"/>
    </row>
    <row r="489">
      <c r="E489" s="142"/>
    </row>
    <row r="490">
      <c r="E490" s="142"/>
    </row>
    <row r="491">
      <c r="E491" s="142"/>
    </row>
    <row r="492">
      <c r="E492" s="142"/>
    </row>
    <row r="493">
      <c r="E493" s="142"/>
    </row>
    <row r="494">
      <c r="E494" s="142"/>
    </row>
    <row r="495">
      <c r="E495" s="142"/>
    </row>
    <row r="496">
      <c r="E496" s="142"/>
    </row>
    <row r="497">
      <c r="E497" s="142"/>
    </row>
    <row r="498">
      <c r="E498" s="142"/>
    </row>
    <row r="499">
      <c r="E499" s="142"/>
    </row>
    <row r="500">
      <c r="E500" s="142"/>
    </row>
    <row r="501">
      <c r="E501" s="142"/>
    </row>
    <row r="502">
      <c r="E502" s="142"/>
    </row>
    <row r="503">
      <c r="E503" s="142"/>
    </row>
    <row r="504">
      <c r="E504" s="142"/>
    </row>
    <row r="505">
      <c r="E505" s="142"/>
    </row>
    <row r="506">
      <c r="E506" s="142"/>
    </row>
    <row r="507">
      <c r="E507" s="142"/>
    </row>
    <row r="508">
      <c r="E508" s="142"/>
    </row>
    <row r="509">
      <c r="E509" s="142"/>
    </row>
    <row r="510">
      <c r="E510" s="142"/>
    </row>
    <row r="511">
      <c r="E511" s="142"/>
    </row>
    <row r="512">
      <c r="E512" s="142"/>
    </row>
    <row r="513">
      <c r="E513" s="142"/>
    </row>
    <row r="514">
      <c r="E514" s="142"/>
    </row>
    <row r="515">
      <c r="E515" s="142"/>
    </row>
    <row r="516">
      <c r="E516" s="142"/>
    </row>
    <row r="517">
      <c r="E517" s="142"/>
    </row>
    <row r="518">
      <c r="E518" s="142"/>
    </row>
    <row r="519">
      <c r="E519" s="142"/>
    </row>
    <row r="520">
      <c r="E520" s="142"/>
    </row>
    <row r="521">
      <c r="E521" s="142"/>
    </row>
    <row r="522">
      <c r="E522" s="142"/>
    </row>
    <row r="523">
      <c r="E523" s="142"/>
    </row>
    <row r="524">
      <c r="E524" s="142"/>
    </row>
    <row r="525">
      <c r="E525" s="142"/>
    </row>
    <row r="526">
      <c r="E526" s="142"/>
    </row>
    <row r="527">
      <c r="E527" s="142"/>
    </row>
    <row r="528">
      <c r="E528" s="142"/>
    </row>
    <row r="529">
      <c r="E529" s="142"/>
    </row>
    <row r="530">
      <c r="E530" s="142"/>
    </row>
    <row r="531">
      <c r="E531" s="142"/>
    </row>
    <row r="532">
      <c r="E532" s="142"/>
    </row>
    <row r="533">
      <c r="E533" s="142"/>
    </row>
    <row r="534">
      <c r="E534" s="142"/>
    </row>
    <row r="535">
      <c r="E535" s="142"/>
    </row>
    <row r="536">
      <c r="E536" s="142"/>
    </row>
    <row r="537">
      <c r="E537" s="142"/>
    </row>
    <row r="538">
      <c r="E538" s="142"/>
    </row>
    <row r="539">
      <c r="E539" s="142"/>
    </row>
    <row r="540">
      <c r="E540" s="142"/>
    </row>
    <row r="541">
      <c r="E541" s="142"/>
    </row>
    <row r="542">
      <c r="E542" s="142"/>
    </row>
    <row r="543">
      <c r="E543" s="142"/>
    </row>
    <row r="544">
      <c r="E544" s="142"/>
    </row>
    <row r="545">
      <c r="E545" s="142"/>
    </row>
    <row r="546">
      <c r="E546" s="142"/>
    </row>
    <row r="547">
      <c r="E547" s="142"/>
    </row>
    <row r="548">
      <c r="E548" s="142"/>
    </row>
    <row r="549">
      <c r="E549" s="142"/>
    </row>
    <row r="550">
      <c r="E550" s="142"/>
    </row>
    <row r="551">
      <c r="E551" s="142"/>
    </row>
    <row r="552">
      <c r="E552" s="142"/>
    </row>
    <row r="553">
      <c r="E553" s="142"/>
    </row>
    <row r="554">
      <c r="E554" s="142"/>
    </row>
    <row r="555">
      <c r="E555" s="142"/>
    </row>
    <row r="556">
      <c r="E556" s="142"/>
    </row>
    <row r="557">
      <c r="E557" s="142"/>
    </row>
    <row r="558">
      <c r="E558" s="142"/>
    </row>
    <row r="559">
      <c r="E559" s="142"/>
    </row>
    <row r="560">
      <c r="E560" s="142"/>
    </row>
    <row r="561">
      <c r="E561" s="142"/>
    </row>
    <row r="562">
      <c r="E562" s="142"/>
    </row>
    <row r="563">
      <c r="E563" s="142"/>
    </row>
    <row r="564">
      <c r="E564" s="142"/>
    </row>
    <row r="565">
      <c r="E565" s="142"/>
    </row>
    <row r="566">
      <c r="E566" s="142"/>
    </row>
    <row r="567">
      <c r="E567" s="142"/>
    </row>
    <row r="568">
      <c r="E568" s="142"/>
    </row>
    <row r="569">
      <c r="E569" s="142"/>
    </row>
    <row r="570">
      <c r="E570" s="142"/>
    </row>
    <row r="571">
      <c r="E571" s="142"/>
    </row>
    <row r="572">
      <c r="E572" s="142"/>
    </row>
    <row r="573">
      <c r="E573" s="142"/>
    </row>
    <row r="574">
      <c r="E574" s="142"/>
    </row>
    <row r="575">
      <c r="E575" s="142"/>
    </row>
    <row r="576">
      <c r="E576" s="142"/>
    </row>
    <row r="577">
      <c r="E577" s="142"/>
    </row>
    <row r="578">
      <c r="E578" s="142"/>
    </row>
    <row r="579">
      <c r="E579" s="142"/>
    </row>
    <row r="580">
      <c r="E580" s="142"/>
    </row>
    <row r="581">
      <c r="E581" s="142"/>
    </row>
    <row r="582">
      <c r="E582" s="142"/>
    </row>
    <row r="583">
      <c r="E583" s="142"/>
    </row>
    <row r="584">
      <c r="E584" s="142"/>
    </row>
    <row r="585">
      <c r="E585" s="142"/>
    </row>
    <row r="586">
      <c r="E586" s="142"/>
    </row>
    <row r="587">
      <c r="E587" s="142"/>
    </row>
    <row r="588">
      <c r="E588" s="142"/>
    </row>
    <row r="589">
      <c r="E589" s="142"/>
    </row>
    <row r="590">
      <c r="E590" s="142"/>
    </row>
    <row r="591">
      <c r="E591" s="142"/>
    </row>
    <row r="592">
      <c r="E592" s="142"/>
    </row>
    <row r="593">
      <c r="E593" s="142"/>
    </row>
    <row r="594">
      <c r="E594" s="142"/>
    </row>
    <row r="595">
      <c r="E595" s="142"/>
    </row>
    <row r="596">
      <c r="E596" s="142"/>
    </row>
    <row r="597">
      <c r="E597" s="142"/>
    </row>
    <row r="598">
      <c r="E598" s="142"/>
    </row>
    <row r="599">
      <c r="E599" s="142"/>
    </row>
    <row r="600">
      <c r="E600" s="142"/>
    </row>
    <row r="601">
      <c r="E601" s="142"/>
    </row>
    <row r="602">
      <c r="E602" s="142"/>
    </row>
    <row r="603">
      <c r="E603" s="142"/>
    </row>
    <row r="604">
      <c r="E604" s="142"/>
    </row>
    <row r="605">
      <c r="E605" s="142"/>
    </row>
    <row r="606">
      <c r="E606" s="142"/>
    </row>
    <row r="607">
      <c r="E607" s="142"/>
    </row>
    <row r="608">
      <c r="E608" s="142"/>
    </row>
    <row r="609">
      <c r="E609" s="142"/>
    </row>
    <row r="610">
      <c r="E610" s="142"/>
    </row>
    <row r="611">
      <c r="E611" s="142"/>
    </row>
    <row r="612">
      <c r="E612" s="142"/>
    </row>
    <row r="613">
      <c r="E613" s="142"/>
    </row>
    <row r="614">
      <c r="E614" s="142"/>
    </row>
    <row r="615">
      <c r="E615" s="142"/>
    </row>
    <row r="616">
      <c r="E616" s="142"/>
    </row>
    <row r="617">
      <c r="E617" s="142"/>
    </row>
    <row r="618">
      <c r="E618" s="142"/>
    </row>
    <row r="619">
      <c r="E619" s="142"/>
    </row>
    <row r="620">
      <c r="E620" s="142"/>
    </row>
    <row r="621">
      <c r="E621" s="142"/>
    </row>
    <row r="622">
      <c r="E622" s="142"/>
    </row>
    <row r="623">
      <c r="E623" s="142"/>
    </row>
    <row r="624">
      <c r="E624" s="142"/>
    </row>
    <row r="625">
      <c r="E625" s="142"/>
    </row>
    <row r="626">
      <c r="E626" s="142"/>
    </row>
    <row r="627">
      <c r="E627" s="142"/>
    </row>
    <row r="628">
      <c r="E628" s="142"/>
    </row>
    <row r="629">
      <c r="E629" s="142"/>
    </row>
    <row r="630">
      <c r="E630" s="142"/>
    </row>
    <row r="631">
      <c r="E631" s="142"/>
    </row>
    <row r="632">
      <c r="E632" s="142"/>
    </row>
    <row r="633">
      <c r="E633" s="142"/>
    </row>
    <row r="634">
      <c r="E634" s="142"/>
    </row>
    <row r="635">
      <c r="E635" s="142"/>
    </row>
    <row r="636">
      <c r="E636" s="142"/>
    </row>
    <row r="637">
      <c r="E637" s="142"/>
    </row>
    <row r="638">
      <c r="E638" s="142"/>
    </row>
    <row r="639">
      <c r="E639" s="142"/>
    </row>
    <row r="640">
      <c r="E640" s="142"/>
    </row>
    <row r="641">
      <c r="E641" s="142"/>
    </row>
    <row r="642">
      <c r="E642" s="142"/>
    </row>
    <row r="643">
      <c r="E643" s="142"/>
    </row>
    <row r="644">
      <c r="E644" s="142"/>
    </row>
    <row r="645">
      <c r="E645" s="142"/>
    </row>
    <row r="646">
      <c r="E646" s="142"/>
    </row>
    <row r="647">
      <c r="E647" s="142"/>
    </row>
    <row r="648">
      <c r="E648" s="142"/>
    </row>
    <row r="649">
      <c r="E649" s="142"/>
    </row>
    <row r="650">
      <c r="E650" s="142"/>
    </row>
    <row r="651">
      <c r="E651" s="142"/>
    </row>
    <row r="652">
      <c r="E652" s="142"/>
    </row>
    <row r="653">
      <c r="E653" s="142"/>
    </row>
    <row r="654">
      <c r="E654" s="142"/>
    </row>
    <row r="655">
      <c r="E655" s="142"/>
    </row>
    <row r="656">
      <c r="E656" s="142"/>
    </row>
    <row r="657">
      <c r="E657" s="142"/>
    </row>
    <row r="658">
      <c r="E658" s="142"/>
    </row>
    <row r="659">
      <c r="E659" s="142"/>
    </row>
    <row r="660">
      <c r="E660" s="142"/>
    </row>
    <row r="661">
      <c r="E661" s="142"/>
    </row>
    <row r="662">
      <c r="E662" s="142"/>
    </row>
    <row r="663">
      <c r="E663" s="142"/>
    </row>
    <row r="664">
      <c r="E664" s="142"/>
    </row>
    <row r="665">
      <c r="E665" s="142"/>
    </row>
    <row r="666">
      <c r="E666" s="142"/>
    </row>
    <row r="667">
      <c r="E667" s="142"/>
    </row>
    <row r="668">
      <c r="E668" s="142"/>
    </row>
    <row r="669">
      <c r="E669" s="142"/>
    </row>
    <row r="670">
      <c r="E670" s="142"/>
    </row>
    <row r="671">
      <c r="E671" s="142"/>
    </row>
    <row r="672">
      <c r="E672" s="142"/>
    </row>
    <row r="673">
      <c r="E673" s="142"/>
    </row>
    <row r="674">
      <c r="E674" s="142"/>
    </row>
    <row r="675">
      <c r="E675" s="142"/>
    </row>
    <row r="676">
      <c r="E676" s="142"/>
    </row>
    <row r="677">
      <c r="E677" s="142"/>
    </row>
    <row r="678">
      <c r="E678" s="142"/>
    </row>
    <row r="679">
      <c r="E679" s="142"/>
    </row>
    <row r="680">
      <c r="E680" s="142"/>
    </row>
    <row r="681">
      <c r="E681" s="142"/>
    </row>
    <row r="682">
      <c r="E682" s="142"/>
    </row>
    <row r="683">
      <c r="E683" s="142"/>
    </row>
    <row r="684">
      <c r="E684" s="142"/>
    </row>
    <row r="685">
      <c r="E685" s="142"/>
    </row>
    <row r="686">
      <c r="E686" s="142"/>
    </row>
    <row r="687">
      <c r="E687" s="142"/>
    </row>
    <row r="688">
      <c r="E688" s="142"/>
    </row>
    <row r="689">
      <c r="E689" s="142"/>
    </row>
    <row r="690">
      <c r="E690" s="142"/>
    </row>
    <row r="691">
      <c r="E691" s="142"/>
    </row>
    <row r="692">
      <c r="E692" s="142"/>
    </row>
    <row r="693">
      <c r="E693" s="142"/>
    </row>
    <row r="694">
      <c r="E694" s="142"/>
    </row>
    <row r="695">
      <c r="E695" s="142"/>
    </row>
    <row r="696">
      <c r="E696" s="142"/>
    </row>
    <row r="697">
      <c r="E697" s="142"/>
    </row>
    <row r="698">
      <c r="E698" s="142"/>
    </row>
    <row r="699">
      <c r="E699" s="142"/>
    </row>
    <row r="700">
      <c r="E700" s="142"/>
    </row>
    <row r="701">
      <c r="E701" s="142"/>
    </row>
    <row r="702">
      <c r="E702" s="142"/>
    </row>
    <row r="703">
      <c r="E703" s="142"/>
    </row>
    <row r="704">
      <c r="E704" s="142"/>
    </row>
    <row r="705">
      <c r="E705" s="142"/>
    </row>
    <row r="706">
      <c r="E706" s="142"/>
    </row>
    <row r="707">
      <c r="E707" s="142"/>
    </row>
    <row r="708">
      <c r="E708" s="142"/>
    </row>
    <row r="709">
      <c r="E709" s="142"/>
    </row>
    <row r="710">
      <c r="E710" s="142"/>
    </row>
    <row r="711">
      <c r="E711" s="142"/>
    </row>
    <row r="712">
      <c r="E712" s="142"/>
    </row>
    <row r="713">
      <c r="E713" s="142"/>
    </row>
    <row r="714">
      <c r="E714" s="142"/>
    </row>
    <row r="715">
      <c r="E715" s="142"/>
    </row>
    <row r="716">
      <c r="E716" s="142"/>
    </row>
    <row r="717">
      <c r="E717" s="142"/>
    </row>
    <row r="718">
      <c r="E718" s="142"/>
    </row>
    <row r="719">
      <c r="E719" s="142"/>
    </row>
    <row r="720">
      <c r="E720" s="142"/>
    </row>
    <row r="721">
      <c r="E721" s="142"/>
    </row>
    <row r="722">
      <c r="E722" s="142"/>
    </row>
    <row r="723">
      <c r="E723" s="142"/>
    </row>
    <row r="724">
      <c r="E724" s="142"/>
    </row>
    <row r="725">
      <c r="E725" s="142"/>
    </row>
    <row r="726">
      <c r="E726" s="142"/>
    </row>
    <row r="727">
      <c r="E727" s="142"/>
    </row>
    <row r="728">
      <c r="E728" s="142"/>
    </row>
    <row r="729">
      <c r="E729" s="142"/>
    </row>
    <row r="730">
      <c r="E730" s="142"/>
    </row>
    <row r="731">
      <c r="E731" s="142"/>
    </row>
    <row r="732">
      <c r="E732" s="142"/>
    </row>
    <row r="733">
      <c r="E733" s="142"/>
    </row>
    <row r="734">
      <c r="E734" s="142"/>
    </row>
    <row r="735">
      <c r="E735" s="142"/>
    </row>
    <row r="736">
      <c r="E736" s="142"/>
    </row>
    <row r="737">
      <c r="E737" s="142"/>
    </row>
    <row r="738">
      <c r="E738" s="142"/>
    </row>
    <row r="739">
      <c r="E739" s="142"/>
    </row>
    <row r="740">
      <c r="E740" s="142"/>
    </row>
    <row r="741">
      <c r="E741" s="142"/>
    </row>
    <row r="742">
      <c r="E742" s="142"/>
    </row>
    <row r="743">
      <c r="E743" s="142"/>
    </row>
    <row r="744">
      <c r="E744" s="142"/>
    </row>
    <row r="745">
      <c r="E745" s="142"/>
    </row>
    <row r="746">
      <c r="E746" s="142"/>
    </row>
    <row r="747">
      <c r="E747" s="142"/>
    </row>
    <row r="748">
      <c r="E748" s="142"/>
    </row>
    <row r="749">
      <c r="E749" s="142"/>
    </row>
    <row r="750">
      <c r="E750" s="142"/>
    </row>
    <row r="751">
      <c r="E751" s="142"/>
    </row>
    <row r="752">
      <c r="E752" s="142"/>
    </row>
    <row r="753">
      <c r="E753" s="142"/>
    </row>
    <row r="754">
      <c r="E754" s="142"/>
    </row>
    <row r="755">
      <c r="E755" s="142"/>
    </row>
    <row r="756">
      <c r="E756" s="142"/>
    </row>
    <row r="757">
      <c r="E757" s="142"/>
    </row>
    <row r="758">
      <c r="E758" s="142"/>
    </row>
    <row r="759">
      <c r="E759" s="142"/>
    </row>
    <row r="760">
      <c r="E760" s="142"/>
    </row>
    <row r="761">
      <c r="E761" s="142"/>
    </row>
    <row r="762">
      <c r="E762" s="142"/>
    </row>
    <row r="763">
      <c r="E763" s="142"/>
    </row>
    <row r="764">
      <c r="E764" s="142"/>
    </row>
    <row r="765">
      <c r="E765" s="142"/>
    </row>
    <row r="766">
      <c r="E766" s="142"/>
    </row>
    <row r="767">
      <c r="E767" s="142"/>
    </row>
    <row r="768">
      <c r="E768" s="142"/>
    </row>
    <row r="769">
      <c r="E769" s="142"/>
    </row>
    <row r="770">
      <c r="E770" s="142"/>
    </row>
    <row r="771">
      <c r="E771" s="142"/>
    </row>
    <row r="772">
      <c r="E772" s="142"/>
    </row>
    <row r="773">
      <c r="E773" s="142"/>
    </row>
    <row r="774">
      <c r="E774" s="142"/>
    </row>
    <row r="775">
      <c r="E775" s="142"/>
    </row>
    <row r="776">
      <c r="E776" s="142"/>
    </row>
    <row r="777">
      <c r="E777" s="142"/>
    </row>
    <row r="778">
      <c r="E778" s="142"/>
    </row>
    <row r="779">
      <c r="E779" s="142"/>
    </row>
    <row r="780">
      <c r="E780" s="142"/>
    </row>
    <row r="781">
      <c r="E781" s="142"/>
    </row>
    <row r="782">
      <c r="E782" s="142"/>
    </row>
    <row r="783">
      <c r="E783" s="142"/>
    </row>
    <row r="784">
      <c r="E784" s="142"/>
    </row>
    <row r="785">
      <c r="E785" s="142"/>
    </row>
    <row r="786">
      <c r="E786" s="142"/>
    </row>
    <row r="787">
      <c r="E787" s="142"/>
    </row>
    <row r="788">
      <c r="E788" s="142"/>
    </row>
    <row r="789">
      <c r="E789" s="142"/>
    </row>
    <row r="790">
      <c r="E790" s="142"/>
    </row>
    <row r="791">
      <c r="E791" s="142"/>
    </row>
    <row r="792">
      <c r="E792" s="142"/>
    </row>
    <row r="793">
      <c r="E793" s="142"/>
    </row>
    <row r="794">
      <c r="E794" s="142"/>
    </row>
    <row r="795">
      <c r="E795" s="142"/>
    </row>
    <row r="796">
      <c r="E796" s="142"/>
    </row>
    <row r="797">
      <c r="E797" s="142"/>
    </row>
    <row r="798">
      <c r="E798" s="142"/>
    </row>
    <row r="799">
      <c r="E799" s="142"/>
    </row>
    <row r="800">
      <c r="E800" s="142"/>
    </row>
    <row r="801">
      <c r="E801" s="142"/>
    </row>
    <row r="802">
      <c r="E802" s="142"/>
    </row>
    <row r="803">
      <c r="E803" s="142"/>
    </row>
    <row r="804">
      <c r="E804" s="142"/>
    </row>
    <row r="805">
      <c r="E805" s="142"/>
    </row>
    <row r="806">
      <c r="E806" s="142"/>
    </row>
    <row r="807">
      <c r="E807" s="142"/>
    </row>
    <row r="808">
      <c r="E808" s="142"/>
    </row>
    <row r="809">
      <c r="E809" s="142"/>
    </row>
    <row r="810">
      <c r="E810" s="142"/>
    </row>
    <row r="811">
      <c r="E811" s="142"/>
    </row>
    <row r="812">
      <c r="E812" s="142"/>
    </row>
    <row r="813">
      <c r="E813" s="142"/>
    </row>
    <row r="814">
      <c r="E814" s="142"/>
    </row>
    <row r="815">
      <c r="E815" s="142"/>
    </row>
    <row r="816">
      <c r="E816" s="142"/>
    </row>
    <row r="817">
      <c r="E817" s="142"/>
    </row>
    <row r="818">
      <c r="E818" s="142"/>
    </row>
    <row r="819">
      <c r="E819" s="142"/>
    </row>
    <row r="820">
      <c r="E820" s="142"/>
    </row>
    <row r="821">
      <c r="E821" s="142"/>
    </row>
    <row r="822">
      <c r="E822" s="142"/>
    </row>
    <row r="823">
      <c r="E823" s="142"/>
    </row>
    <row r="824">
      <c r="E824" s="142"/>
    </row>
    <row r="825">
      <c r="E825" s="142"/>
    </row>
    <row r="826">
      <c r="E826" s="142"/>
    </row>
    <row r="827">
      <c r="E827" s="142"/>
    </row>
    <row r="828">
      <c r="E828" s="142"/>
    </row>
    <row r="829">
      <c r="E829" s="142"/>
    </row>
    <row r="830">
      <c r="E830" s="142"/>
    </row>
    <row r="831">
      <c r="E831" s="142"/>
    </row>
    <row r="832">
      <c r="E832" s="142"/>
    </row>
    <row r="833">
      <c r="E833" s="142"/>
    </row>
    <row r="834">
      <c r="E834" s="142"/>
    </row>
    <row r="835">
      <c r="E835" s="142"/>
    </row>
    <row r="836">
      <c r="E836" s="142"/>
    </row>
    <row r="837">
      <c r="E837" s="142"/>
    </row>
    <row r="838">
      <c r="E838" s="142"/>
    </row>
    <row r="839">
      <c r="E839" s="142"/>
    </row>
    <row r="840">
      <c r="E840" s="142"/>
    </row>
    <row r="841">
      <c r="E841" s="142"/>
    </row>
    <row r="842">
      <c r="E842" s="142"/>
    </row>
    <row r="843">
      <c r="E843" s="142"/>
    </row>
    <row r="844">
      <c r="E844" s="142"/>
    </row>
    <row r="845">
      <c r="E845" s="142"/>
    </row>
    <row r="846">
      <c r="E846" s="142"/>
    </row>
    <row r="847">
      <c r="E847" s="142"/>
    </row>
    <row r="848">
      <c r="E848" s="142"/>
    </row>
    <row r="849">
      <c r="E849" s="142"/>
    </row>
    <row r="850">
      <c r="E850" s="142"/>
    </row>
    <row r="851">
      <c r="E851" s="142"/>
    </row>
    <row r="852">
      <c r="E852" s="142"/>
    </row>
    <row r="853">
      <c r="E853" s="142"/>
    </row>
    <row r="854">
      <c r="E854" s="142"/>
    </row>
    <row r="855">
      <c r="E855" s="142"/>
    </row>
    <row r="856">
      <c r="E856" s="142"/>
    </row>
    <row r="857">
      <c r="E857" s="142"/>
    </row>
    <row r="858">
      <c r="E858" s="142"/>
    </row>
    <row r="859">
      <c r="E859" s="142"/>
    </row>
    <row r="860">
      <c r="E860" s="142"/>
    </row>
    <row r="861">
      <c r="E861" s="142"/>
    </row>
    <row r="862">
      <c r="E862" s="142"/>
    </row>
    <row r="863">
      <c r="E863" s="142"/>
    </row>
    <row r="864">
      <c r="E864" s="142"/>
    </row>
    <row r="865">
      <c r="E865" s="142"/>
    </row>
    <row r="866">
      <c r="E866" s="142"/>
    </row>
    <row r="867">
      <c r="E867" s="142"/>
    </row>
    <row r="868">
      <c r="E868" s="142"/>
    </row>
    <row r="869">
      <c r="E869" s="142"/>
    </row>
    <row r="870">
      <c r="E870" s="142"/>
    </row>
    <row r="871">
      <c r="E871" s="142"/>
    </row>
    <row r="872">
      <c r="E872" s="142"/>
    </row>
    <row r="873">
      <c r="E873" s="142"/>
    </row>
    <row r="874">
      <c r="E874" s="142"/>
    </row>
    <row r="875">
      <c r="E875" s="142"/>
    </row>
    <row r="876">
      <c r="E876" s="142"/>
    </row>
    <row r="877">
      <c r="E877" s="142"/>
    </row>
    <row r="878">
      <c r="E878" s="142"/>
    </row>
    <row r="879">
      <c r="E879" s="142"/>
    </row>
    <row r="880">
      <c r="E880" s="142"/>
    </row>
    <row r="881">
      <c r="E881" s="142"/>
    </row>
    <row r="882">
      <c r="E882" s="142"/>
    </row>
    <row r="883">
      <c r="E883" s="142"/>
    </row>
    <row r="884">
      <c r="E884" s="142"/>
    </row>
    <row r="885">
      <c r="E885" s="142"/>
    </row>
    <row r="886">
      <c r="E886" s="142"/>
    </row>
    <row r="887">
      <c r="E887" s="142"/>
    </row>
    <row r="888">
      <c r="E888" s="142"/>
    </row>
    <row r="889">
      <c r="E889" s="142"/>
    </row>
    <row r="890">
      <c r="E890" s="142"/>
    </row>
    <row r="891">
      <c r="E891" s="142"/>
    </row>
    <row r="892">
      <c r="E892" s="142"/>
    </row>
    <row r="893">
      <c r="E893" s="142"/>
    </row>
    <row r="894">
      <c r="E894" s="142"/>
    </row>
    <row r="895">
      <c r="E895" s="142"/>
    </row>
    <row r="896">
      <c r="E896" s="142"/>
    </row>
    <row r="897">
      <c r="E897" s="142"/>
    </row>
    <row r="898">
      <c r="E898" s="142"/>
    </row>
    <row r="899">
      <c r="E899" s="142"/>
    </row>
    <row r="900">
      <c r="E900" s="142"/>
    </row>
    <row r="901">
      <c r="E901" s="142"/>
    </row>
    <row r="902">
      <c r="E902" s="142"/>
    </row>
    <row r="903">
      <c r="E903" s="142"/>
    </row>
    <row r="904">
      <c r="E904" s="142"/>
    </row>
    <row r="905">
      <c r="E905" s="142"/>
    </row>
    <row r="906">
      <c r="E906" s="142"/>
    </row>
    <row r="907">
      <c r="E907" s="142"/>
    </row>
    <row r="908">
      <c r="E908" s="142"/>
    </row>
    <row r="909">
      <c r="E909" s="142"/>
    </row>
    <row r="910">
      <c r="E910" s="142"/>
    </row>
    <row r="911">
      <c r="E911" s="142"/>
    </row>
    <row r="912">
      <c r="E912" s="142"/>
    </row>
    <row r="913">
      <c r="E913" s="142"/>
    </row>
    <row r="914">
      <c r="E914" s="142"/>
    </row>
    <row r="915">
      <c r="E915" s="142"/>
    </row>
    <row r="916">
      <c r="E916" s="142"/>
    </row>
    <row r="917">
      <c r="E917" s="142"/>
    </row>
    <row r="918">
      <c r="E918" s="142"/>
    </row>
    <row r="919">
      <c r="E919" s="142"/>
    </row>
    <row r="920">
      <c r="E920" s="142"/>
    </row>
    <row r="921">
      <c r="E921" s="142"/>
    </row>
    <row r="922">
      <c r="E922" s="142"/>
    </row>
    <row r="923">
      <c r="E923" s="142"/>
    </row>
    <row r="924">
      <c r="E924" s="142"/>
    </row>
    <row r="925">
      <c r="E925" s="142"/>
    </row>
    <row r="926">
      <c r="E926" s="142"/>
    </row>
    <row r="927">
      <c r="E927" s="142"/>
    </row>
    <row r="928">
      <c r="E928" s="142"/>
    </row>
    <row r="929">
      <c r="E929" s="142"/>
    </row>
    <row r="930">
      <c r="E930" s="142"/>
    </row>
    <row r="931">
      <c r="E931" s="142"/>
    </row>
    <row r="932">
      <c r="E932" s="142"/>
    </row>
    <row r="933">
      <c r="E933" s="142"/>
    </row>
    <row r="934">
      <c r="E934" s="142"/>
    </row>
    <row r="935">
      <c r="E935" s="142"/>
    </row>
    <row r="936">
      <c r="E936" s="142"/>
    </row>
    <row r="937">
      <c r="E937" s="142"/>
    </row>
    <row r="938">
      <c r="E938" s="142"/>
    </row>
    <row r="939">
      <c r="E939" s="142"/>
    </row>
    <row r="940">
      <c r="E940" s="142"/>
    </row>
    <row r="941">
      <c r="E941" s="142"/>
    </row>
    <row r="942">
      <c r="E942" s="142"/>
    </row>
    <row r="943">
      <c r="E943" s="142"/>
    </row>
    <row r="944">
      <c r="E944" s="142"/>
    </row>
    <row r="945">
      <c r="E945" s="142"/>
    </row>
    <row r="946">
      <c r="E946" s="142"/>
    </row>
    <row r="947">
      <c r="E947" s="142"/>
    </row>
    <row r="948">
      <c r="E948" s="142"/>
    </row>
    <row r="949">
      <c r="E949" s="142"/>
    </row>
    <row r="950">
      <c r="E950" s="142"/>
    </row>
    <row r="951">
      <c r="E951" s="142"/>
    </row>
    <row r="952">
      <c r="E952" s="142"/>
    </row>
    <row r="953">
      <c r="E953" s="142"/>
    </row>
    <row r="954">
      <c r="E954" s="142"/>
    </row>
    <row r="955">
      <c r="E955" s="142"/>
    </row>
    <row r="956">
      <c r="E956" s="142"/>
    </row>
    <row r="957">
      <c r="E957" s="142"/>
    </row>
    <row r="958">
      <c r="E958" s="142"/>
    </row>
    <row r="959">
      <c r="E959" s="142"/>
    </row>
    <row r="960">
      <c r="E960" s="142"/>
    </row>
    <row r="961">
      <c r="E961" s="142"/>
    </row>
    <row r="962">
      <c r="E962" s="142"/>
    </row>
    <row r="963">
      <c r="E963" s="142"/>
    </row>
    <row r="964">
      <c r="E964" s="142"/>
    </row>
    <row r="965">
      <c r="E965" s="142"/>
    </row>
    <row r="966">
      <c r="E966" s="142"/>
    </row>
    <row r="967">
      <c r="E967" s="142"/>
    </row>
    <row r="968">
      <c r="E968" s="142"/>
    </row>
    <row r="969">
      <c r="E969" s="142"/>
    </row>
    <row r="970">
      <c r="E970" s="142"/>
    </row>
    <row r="971">
      <c r="E971" s="142"/>
    </row>
    <row r="972">
      <c r="E972" s="142"/>
    </row>
    <row r="973">
      <c r="E973" s="142"/>
    </row>
    <row r="974">
      <c r="E974" s="142"/>
    </row>
    <row r="975">
      <c r="E975" s="142"/>
    </row>
    <row r="976">
      <c r="E976" s="142"/>
    </row>
    <row r="977">
      <c r="E977" s="142"/>
    </row>
    <row r="978">
      <c r="E978" s="142"/>
    </row>
    <row r="979">
      <c r="E979" s="142"/>
    </row>
    <row r="980">
      <c r="E980" s="142"/>
    </row>
    <row r="981">
      <c r="E981" s="142"/>
    </row>
    <row r="982">
      <c r="E982" s="142"/>
    </row>
    <row r="983">
      <c r="E983" s="142"/>
    </row>
    <row r="984">
      <c r="E984" s="142"/>
    </row>
    <row r="985">
      <c r="E985" s="142"/>
    </row>
    <row r="986">
      <c r="E986" s="142"/>
    </row>
    <row r="987">
      <c r="E987" s="142"/>
    </row>
    <row r="988">
      <c r="E988" s="142"/>
    </row>
    <row r="989">
      <c r="E989" s="142"/>
    </row>
    <row r="990">
      <c r="E990" s="142"/>
    </row>
    <row r="991">
      <c r="E991" s="14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7.75"/>
    <col customWidth="1" min="3" max="3" width="11.13"/>
    <col customWidth="1" min="4" max="4" width="19.63"/>
    <col customWidth="1" min="5" max="5" width="12.13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11</v>
      </c>
      <c r="F1" s="1" t="s">
        <v>13</v>
      </c>
    </row>
    <row r="2">
      <c r="A2" s="5" t="s">
        <v>18</v>
      </c>
      <c r="B2" s="1" t="s">
        <v>21</v>
      </c>
      <c r="C2" s="1">
        <v>1.0</v>
      </c>
      <c r="D2" s="1" t="s">
        <v>25</v>
      </c>
      <c r="E2" s="1" t="s">
        <v>27</v>
      </c>
      <c r="F2" s="1" t="s">
        <v>28</v>
      </c>
    </row>
    <row r="3">
      <c r="A3" s="13" t="s">
        <v>33</v>
      </c>
      <c r="B3" s="1" t="s">
        <v>69</v>
      </c>
      <c r="C3" s="1">
        <v>1.0</v>
      </c>
      <c r="D3" s="1" t="s">
        <v>28</v>
      </c>
      <c r="E3" s="1" t="s">
        <v>27</v>
      </c>
      <c r="F3" s="1" t="s">
        <v>63</v>
      </c>
    </row>
    <row r="4">
      <c r="A4" s="13" t="s">
        <v>77</v>
      </c>
      <c r="B4" s="1" t="s">
        <v>85</v>
      </c>
      <c r="C4" s="1">
        <v>1.0</v>
      </c>
      <c r="D4" s="1" t="s">
        <v>87</v>
      </c>
      <c r="E4" s="1" t="s">
        <v>27</v>
      </c>
      <c r="F4" s="1" t="s">
        <v>87</v>
      </c>
    </row>
    <row r="5">
      <c r="A5" s="13" t="s">
        <v>90</v>
      </c>
      <c r="B5" s="1" t="s">
        <v>97</v>
      </c>
      <c r="C5" s="1">
        <v>1.0</v>
      </c>
      <c r="D5" s="1" t="s">
        <v>100</v>
      </c>
      <c r="E5" s="1" t="s">
        <v>27</v>
      </c>
      <c r="F5" s="1" t="s">
        <v>100</v>
      </c>
    </row>
    <row r="6">
      <c r="A6" s="13" t="s">
        <v>104</v>
      </c>
      <c r="B6" s="1" t="s">
        <v>110</v>
      </c>
      <c r="C6" s="1">
        <v>1.0</v>
      </c>
      <c r="D6" s="1" t="s">
        <v>111</v>
      </c>
      <c r="E6" s="1" t="s">
        <v>27</v>
      </c>
      <c r="F6" s="1" t="s">
        <v>28</v>
      </c>
    </row>
    <row r="7">
      <c r="A7" s="13" t="s">
        <v>112</v>
      </c>
      <c r="B7" s="1" t="s">
        <v>118</v>
      </c>
      <c r="C7" s="1">
        <v>1.0</v>
      </c>
      <c r="D7" s="1" t="s">
        <v>120</v>
      </c>
      <c r="E7" s="1" t="s">
        <v>27</v>
      </c>
      <c r="F7" s="1" t="s">
        <v>120</v>
      </c>
    </row>
    <row r="8">
      <c r="A8" s="13" t="s">
        <v>124</v>
      </c>
      <c r="B8" s="1" t="s">
        <v>80</v>
      </c>
      <c r="C8" s="1">
        <v>1.0</v>
      </c>
      <c r="D8" s="1" t="s">
        <v>129</v>
      </c>
      <c r="E8" s="1" t="s">
        <v>27</v>
      </c>
      <c r="F8" s="1" t="s">
        <v>129</v>
      </c>
    </row>
    <row r="9">
      <c r="A9" s="13" t="s">
        <v>130</v>
      </c>
      <c r="B9" s="1" t="s">
        <v>131</v>
      </c>
      <c r="C9" s="1">
        <v>1.0</v>
      </c>
      <c r="D9" s="1" t="s">
        <v>63</v>
      </c>
      <c r="E9" s="1" t="s">
        <v>27</v>
      </c>
      <c r="F9" s="1" t="s">
        <v>63</v>
      </c>
    </row>
    <row r="10">
      <c r="A10" s="24" t="s">
        <v>139</v>
      </c>
      <c r="B10" s="1" t="s">
        <v>142</v>
      </c>
      <c r="C10" s="1">
        <v>1.0</v>
      </c>
      <c r="D10" s="1" t="s">
        <v>28</v>
      </c>
      <c r="E10" s="1" t="s">
        <v>27</v>
      </c>
      <c r="F10" s="1" t="s">
        <v>145</v>
      </c>
    </row>
    <row r="11">
      <c r="A11" s="24" t="s">
        <v>147</v>
      </c>
      <c r="B11" s="1" t="s">
        <v>148</v>
      </c>
      <c r="D11" s="29"/>
      <c r="E11" s="1" t="s">
        <v>27</v>
      </c>
      <c r="F11" s="29"/>
    </row>
    <row r="12">
      <c r="A12" s="24" t="s">
        <v>150</v>
      </c>
      <c r="B12" s="1" t="s">
        <v>152</v>
      </c>
      <c r="C12" s="1">
        <v>1.0</v>
      </c>
      <c r="D12" s="29" t="s">
        <v>154</v>
      </c>
      <c r="E12" s="1" t="s">
        <v>27</v>
      </c>
      <c r="F12" s="29" t="s">
        <v>154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17</v>
      </c>
      <c r="K1" s="1" t="s">
        <v>19</v>
      </c>
      <c r="L1" s="1" t="s">
        <v>22</v>
      </c>
      <c r="M1" s="1" t="s">
        <v>23</v>
      </c>
      <c r="N1" s="1" t="s">
        <v>26</v>
      </c>
    </row>
    <row r="9">
      <c r="A9" s="6"/>
      <c r="B9" s="6"/>
      <c r="C9" s="6"/>
      <c r="D9" s="6"/>
      <c r="E9" s="7"/>
      <c r="F9" s="6"/>
      <c r="G9" s="6"/>
    </row>
    <row r="10">
      <c r="A10" s="6"/>
      <c r="B10" s="6"/>
      <c r="C10" s="6"/>
      <c r="D10" s="6"/>
      <c r="E10" s="7"/>
      <c r="F10" s="6"/>
      <c r="G10" s="6"/>
    </row>
    <row r="11">
      <c r="A11" s="6"/>
      <c r="B11" s="6"/>
      <c r="C11" s="6"/>
      <c r="D11" s="6"/>
      <c r="E11" s="7"/>
      <c r="F11" s="6"/>
      <c r="G11" s="6"/>
    </row>
    <row r="12">
      <c r="A12" s="6"/>
      <c r="B12" s="6"/>
      <c r="C12" s="6"/>
      <c r="D12" s="6"/>
      <c r="E12" s="7"/>
      <c r="F12" s="6"/>
      <c r="G12" s="6"/>
    </row>
    <row r="13">
      <c r="A13" s="6"/>
      <c r="B13" s="6"/>
      <c r="C13" s="6"/>
      <c r="D13" s="6"/>
      <c r="E13" s="7"/>
      <c r="F13" s="6"/>
      <c r="G13" s="6"/>
    </row>
    <row r="14">
      <c r="A14" s="6"/>
      <c r="B14" s="6"/>
      <c r="C14" s="6"/>
      <c r="D14" s="6"/>
      <c r="E14" s="7"/>
      <c r="F14" s="6"/>
      <c r="G14" s="6"/>
    </row>
    <row r="15">
      <c r="A15" s="6"/>
      <c r="B15" s="6"/>
      <c r="C15" s="6"/>
      <c r="D15" s="6"/>
      <c r="E15" s="7"/>
      <c r="F15" s="6"/>
      <c r="G15" s="6"/>
    </row>
    <row r="16">
      <c r="A16" s="6"/>
      <c r="B16" s="6"/>
      <c r="C16" s="6"/>
      <c r="D16" s="6"/>
      <c r="E16" s="7"/>
      <c r="F16" s="6"/>
      <c r="G16" s="6"/>
    </row>
    <row r="17">
      <c r="A17" s="6"/>
      <c r="B17" s="6"/>
      <c r="C17" s="6"/>
      <c r="D17" s="6"/>
      <c r="E17" s="7"/>
      <c r="F17" s="6"/>
      <c r="G17" s="6"/>
    </row>
    <row r="18">
      <c r="A18" s="6"/>
      <c r="B18" s="6"/>
      <c r="C18" s="6"/>
      <c r="D18" s="6"/>
      <c r="E18" s="7"/>
      <c r="F18" s="6"/>
      <c r="G18" s="6"/>
    </row>
    <row r="19">
      <c r="A19" s="6"/>
      <c r="B19" s="6"/>
      <c r="C19" s="6"/>
      <c r="D19" s="6"/>
      <c r="E19" s="7"/>
      <c r="F19" s="6"/>
      <c r="G19" s="6"/>
    </row>
    <row r="20">
      <c r="A20" s="6"/>
      <c r="B20" s="6"/>
      <c r="C20" s="6"/>
      <c r="D20" s="6"/>
      <c r="E20" s="7"/>
      <c r="F20" s="6"/>
      <c r="G20" s="6"/>
    </row>
    <row r="21">
      <c r="A21" s="6"/>
      <c r="B21" s="6"/>
      <c r="C21" s="6"/>
      <c r="D21" s="6"/>
      <c r="E21" s="7"/>
      <c r="F21" s="6"/>
      <c r="G21" s="6"/>
    </row>
    <row r="22">
      <c r="A22" s="6"/>
      <c r="B22" s="6"/>
      <c r="C22" s="6"/>
      <c r="D22" s="6"/>
      <c r="E22" s="7"/>
      <c r="F22" s="6"/>
      <c r="G22" s="6"/>
    </row>
    <row r="23">
      <c r="A23" s="6"/>
      <c r="B23" s="6"/>
      <c r="C23" s="6"/>
      <c r="D23" s="6"/>
      <c r="E23" s="7"/>
      <c r="F23" s="6"/>
      <c r="G23" s="6"/>
    </row>
    <row r="24">
      <c r="A24" s="6"/>
      <c r="B24" s="6"/>
      <c r="C24" s="6"/>
      <c r="D24" s="6"/>
      <c r="E24" s="7"/>
      <c r="F24" s="6"/>
      <c r="G24" s="6"/>
    </row>
    <row r="25">
      <c r="A25" s="6"/>
      <c r="B25" s="6"/>
      <c r="C25" s="6"/>
      <c r="D25" s="6"/>
      <c r="E25" s="7"/>
      <c r="F25" s="6"/>
      <c r="G25" s="6"/>
    </row>
    <row r="26">
      <c r="A26" s="6"/>
      <c r="B26" s="6"/>
      <c r="C26" s="6"/>
      <c r="D26" s="6"/>
      <c r="E26" s="7"/>
      <c r="F26" s="6"/>
      <c r="G26" s="6"/>
    </row>
    <row r="27">
      <c r="A27" s="6"/>
      <c r="B27" s="6"/>
      <c r="C27" s="6"/>
      <c r="D27" s="6"/>
      <c r="E27" s="7"/>
      <c r="F27" s="6"/>
      <c r="G27" s="6"/>
    </row>
    <row r="28">
      <c r="A28" s="6"/>
      <c r="B28" s="6"/>
      <c r="C28" s="6"/>
      <c r="D28" s="6"/>
      <c r="E28" s="7"/>
      <c r="F28" s="6"/>
      <c r="G28" s="6"/>
    </row>
    <row r="29">
      <c r="A29" s="6"/>
      <c r="B29" s="6"/>
      <c r="C29" s="6"/>
      <c r="D29" s="6"/>
      <c r="E29" s="7"/>
      <c r="F29" s="6"/>
      <c r="G29" s="6"/>
    </row>
    <row r="30">
      <c r="A30" s="6"/>
      <c r="B30" s="6"/>
      <c r="C30" s="6"/>
      <c r="D30" s="6"/>
      <c r="E30" s="7"/>
      <c r="F30" s="6"/>
      <c r="G30" s="6"/>
    </row>
    <row r="31">
      <c r="A31" s="6"/>
      <c r="B31" s="6"/>
      <c r="C31" s="6"/>
      <c r="D31" s="6"/>
      <c r="E31" s="7"/>
      <c r="F31" s="6"/>
      <c r="G31" s="7"/>
    </row>
    <row r="32">
      <c r="A32" s="6"/>
      <c r="B32" s="6"/>
      <c r="C32" s="6"/>
      <c r="D32" s="6"/>
      <c r="E32" s="7"/>
      <c r="F32" s="6"/>
      <c r="G32" s="6"/>
    </row>
    <row r="33">
      <c r="A33" s="6"/>
      <c r="B33" s="6"/>
      <c r="C33" s="6"/>
      <c r="D33" s="6"/>
      <c r="E33" s="7"/>
      <c r="F33" s="6"/>
      <c r="G33" s="6"/>
    </row>
    <row r="34">
      <c r="A34" s="6"/>
      <c r="B34" s="6"/>
      <c r="C34" s="6"/>
      <c r="D34" s="6"/>
      <c r="E34" s="7"/>
      <c r="F34" s="6"/>
      <c r="G34" s="6"/>
    </row>
    <row r="35">
      <c r="A35" s="6"/>
      <c r="B35" s="6"/>
      <c r="C35" s="6"/>
      <c r="D35" s="6"/>
      <c r="E35" s="7"/>
      <c r="F35" s="6"/>
      <c r="G35" s="6"/>
    </row>
    <row r="36">
      <c r="A36" s="6"/>
      <c r="B36" s="6"/>
      <c r="C36" s="6"/>
      <c r="D36" s="6"/>
      <c r="E36" s="7"/>
      <c r="F36" s="6"/>
      <c r="G36" s="6"/>
    </row>
    <row r="37">
      <c r="A37" s="6"/>
      <c r="B37" s="6"/>
      <c r="C37" s="6"/>
      <c r="D37" s="6"/>
      <c r="E37" s="7"/>
      <c r="F37" s="6"/>
      <c r="G37" s="6"/>
    </row>
    <row r="38">
      <c r="A38" s="6"/>
      <c r="B38" s="6"/>
      <c r="C38" s="6"/>
      <c r="D38" s="6"/>
      <c r="E38" s="7"/>
      <c r="F38" s="6"/>
      <c r="G38" s="6"/>
    </row>
    <row r="39">
      <c r="A39" s="6"/>
      <c r="B39" s="6"/>
      <c r="C39" s="6"/>
      <c r="D39" s="6"/>
      <c r="E39" s="7"/>
      <c r="F39" s="6"/>
      <c r="G39" s="6"/>
    </row>
    <row r="40">
      <c r="A40" s="6"/>
      <c r="B40" s="6"/>
      <c r="C40" s="6"/>
      <c r="D40" s="6"/>
      <c r="E40" s="7"/>
      <c r="F40" s="6"/>
      <c r="G40" s="7"/>
    </row>
    <row r="41">
      <c r="A41" s="6"/>
      <c r="B41" s="6"/>
      <c r="C41" s="6"/>
      <c r="D41" s="6"/>
      <c r="E41" s="7"/>
      <c r="F41" s="6"/>
      <c r="G41" s="6"/>
    </row>
    <row r="42">
      <c r="A42" s="6"/>
      <c r="B42" s="6"/>
      <c r="C42" s="6"/>
      <c r="D42" s="6"/>
      <c r="E42" s="7"/>
      <c r="F42" s="6"/>
      <c r="G42" s="6"/>
    </row>
    <row r="43">
      <c r="A43" s="6"/>
      <c r="B43" s="6"/>
      <c r="C43" s="6"/>
      <c r="D43" s="6"/>
      <c r="E43" s="7"/>
      <c r="F43" s="6"/>
      <c r="G43" s="6"/>
    </row>
    <row r="44">
      <c r="A44" s="6"/>
      <c r="B44" s="6"/>
      <c r="C44" s="6"/>
      <c r="D44" s="6"/>
      <c r="E44" s="7"/>
      <c r="F44" s="6"/>
      <c r="G44" s="6"/>
    </row>
    <row r="45">
      <c r="A45" s="6"/>
      <c r="B45" s="6"/>
      <c r="C45" s="6"/>
      <c r="D45" s="6"/>
      <c r="E45" s="7"/>
      <c r="F45" s="6"/>
      <c r="G45" s="6"/>
    </row>
    <row r="46">
      <c r="A46" s="6"/>
      <c r="B46" s="6"/>
      <c r="C46" s="6"/>
      <c r="D46" s="6"/>
      <c r="E46" s="7"/>
      <c r="F46" s="6"/>
      <c r="G46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19.88"/>
    <col customWidth="1" min="6" max="6" width="32.25"/>
    <col customWidth="1" min="8" max="8" width="28.38"/>
    <col customWidth="1" min="9" max="9" width="29.13"/>
    <col customWidth="1" min="10" max="10" width="27.88"/>
    <col customWidth="1" min="11" max="11" width="20.13"/>
    <col customWidth="1" min="12" max="12" width="26.63"/>
    <col customWidth="1" min="13" max="13" width="27.88"/>
    <col customWidth="1" min="14" max="14" width="28.5"/>
    <col customWidth="1" min="15" max="15" width="27.25"/>
    <col customWidth="1" min="16" max="16" width="25.88"/>
    <col customWidth="1" min="17" max="17" width="25.25"/>
    <col customWidth="1" min="18" max="18" width="25.13"/>
    <col customWidth="1" min="19" max="19" width="29.0"/>
    <col customWidth="1" min="20" max="20" width="21.5"/>
  </cols>
  <sheetData>
    <row r="1">
      <c r="A1" s="3" t="s">
        <v>3</v>
      </c>
      <c r="B1" s="4" t="s">
        <v>15</v>
      </c>
      <c r="C1" s="4" t="s">
        <v>20</v>
      </c>
      <c r="D1" s="4" t="s">
        <v>24</v>
      </c>
      <c r="E1" s="4" t="s">
        <v>29</v>
      </c>
      <c r="F1" s="3" t="s">
        <v>30</v>
      </c>
      <c r="G1" s="3" t="s">
        <v>31</v>
      </c>
      <c r="H1" s="4" t="s">
        <v>32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39</v>
      </c>
      <c r="N1" s="3" t="s">
        <v>40</v>
      </c>
      <c r="O1" s="3" t="s">
        <v>41</v>
      </c>
      <c r="P1" s="3" t="s">
        <v>44</v>
      </c>
      <c r="Q1" s="9" t="s">
        <v>46</v>
      </c>
      <c r="R1" s="3" t="s">
        <v>48</v>
      </c>
      <c r="S1" s="3" t="s">
        <v>50</v>
      </c>
      <c r="T1" s="1" t="s">
        <v>52</v>
      </c>
      <c r="U1" s="1" t="s">
        <v>53</v>
      </c>
    </row>
    <row r="2">
      <c r="A2" s="11">
        <v>1.0</v>
      </c>
      <c r="B2" s="12" t="s">
        <v>58</v>
      </c>
      <c r="C2" s="12" t="s">
        <v>61</v>
      </c>
      <c r="D2" s="12" t="s">
        <v>63</v>
      </c>
      <c r="E2" s="12" t="s">
        <v>66</v>
      </c>
      <c r="F2" s="12" t="s">
        <v>68</v>
      </c>
      <c r="G2" s="12" t="s">
        <v>71</v>
      </c>
      <c r="H2" s="11" t="s">
        <v>73</v>
      </c>
      <c r="I2" s="11" t="s">
        <v>76</v>
      </c>
      <c r="J2" s="11" t="s">
        <v>78</v>
      </c>
      <c r="K2" s="11">
        <v>9.876318016E9</v>
      </c>
      <c r="L2" s="14" t="s">
        <v>84</v>
      </c>
      <c r="M2" s="14" t="s">
        <v>109</v>
      </c>
      <c r="N2" s="11" t="s">
        <v>114</v>
      </c>
      <c r="O2" s="11" t="s">
        <v>115</v>
      </c>
      <c r="P2" s="18" t="s">
        <v>117</v>
      </c>
      <c r="Q2" s="19" t="s">
        <v>119</v>
      </c>
      <c r="R2" s="11" t="s">
        <v>123</v>
      </c>
      <c r="S2" s="11">
        <v>3.88821660855E11</v>
      </c>
    </row>
    <row r="3">
      <c r="A3" s="20">
        <v>2.0</v>
      </c>
      <c r="B3" s="18" t="s">
        <v>128</v>
      </c>
      <c r="C3" s="21"/>
      <c r="D3" s="22" t="s">
        <v>111</v>
      </c>
      <c r="E3" s="22" t="s">
        <v>66</v>
      </c>
      <c r="F3" s="18" t="s">
        <v>132</v>
      </c>
      <c r="G3" s="12" t="s">
        <v>71</v>
      </c>
      <c r="H3" s="20" t="s">
        <v>137</v>
      </c>
      <c r="I3" s="21"/>
      <c r="J3" s="21"/>
      <c r="K3" s="21"/>
      <c r="L3" s="21"/>
      <c r="M3" s="21"/>
      <c r="N3" s="25"/>
      <c r="O3" s="21"/>
      <c r="P3" s="21"/>
      <c r="Q3" s="27"/>
      <c r="R3" s="21"/>
      <c r="S3" s="21"/>
    </row>
    <row r="4">
      <c r="A4" s="11">
        <v>3.0</v>
      </c>
      <c r="B4" s="22" t="s">
        <v>149</v>
      </c>
      <c r="C4" s="31" t="s">
        <v>153</v>
      </c>
      <c r="D4" s="22" t="s">
        <v>155</v>
      </c>
      <c r="E4" s="22" t="s">
        <v>156</v>
      </c>
      <c r="F4" s="22" t="s">
        <v>157</v>
      </c>
      <c r="G4" s="12" t="s">
        <v>71</v>
      </c>
      <c r="H4" s="20" t="s">
        <v>73</v>
      </c>
      <c r="I4" s="11" t="s">
        <v>158</v>
      </c>
      <c r="J4" s="11" t="s">
        <v>159</v>
      </c>
      <c r="K4" s="11">
        <v>7.837313502E9</v>
      </c>
      <c r="L4" s="26" t="s">
        <v>162</v>
      </c>
      <c r="M4" s="33" t="s">
        <v>166</v>
      </c>
      <c r="N4" s="20" t="s">
        <v>114</v>
      </c>
      <c r="O4" s="34"/>
      <c r="P4" s="18" t="s">
        <v>170</v>
      </c>
      <c r="Q4" s="35" t="s">
        <v>171</v>
      </c>
      <c r="R4" s="11" t="s">
        <v>172</v>
      </c>
      <c r="S4" s="11">
        <v>3.0463157996E11</v>
      </c>
    </row>
    <row r="5">
      <c r="A5" s="20">
        <v>4.0</v>
      </c>
      <c r="B5" s="22" t="s">
        <v>173</v>
      </c>
      <c r="C5" s="31" t="s">
        <v>174</v>
      </c>
      <c r="D5" s="22" t="s">
        <v>155</v>
      </c>
      <c r="E5" s="22" t="s">
        <v>156</v>
      </c>
      <c r="F5" s="22" t="s">
        <v>176</v>
      </c>
      <c r="G5" s="12" t="s">
        <v>71</v>
      </c>
      <c r="H5" s="20" t="s">
        <v>73</v>
      </c>
      <c r="I5" s="11" t="s">
        <v>177</v>
      </c>
      <c r="J5" s="11" t="s">
        <v>159</v>
      </c>
      <c r="K5" s="11">
        <v>9.876021287E9</v>
      </c>
      <c r="L5" s="14" t="s">
        <v>181</v>
      </c>
      <c r="M5" s="36" t="s">
        <v>185</v>
      </c>
      <c r="N5" s="37" t="s">
        <v>114</v>
      </c>
      <c r="O5" s="38"/>
      <c r="P5" s="18" t="s">
        <v>189</v>
      </c>
      <c r="Q5" s="35" t="s">
        <v>190</v>
      </c>
      <c r="R5" s="11" t="s">
        <v>191</v>
      </c>
      <c r="S5" s="11">
        <v>8.17097362549E11</v>
      </c>
    </row>
    <row r="6">
      <c r="A6" s="11">
        <v>5.0</v>
      </c>
      <c r="B6" s="22" t="s">
        <v>193</v>
      </c>
      <c r="C6" s="22" t="s">
        <v>194</v>
      </c>
      <c r="D6" s="22" t="s">
        <v>155</v>
      </c>
      <c r="E6" s="22" t="s">
        <v>156</v>
      </c>
      <c r="F6" s="22" t="s">
        <v>195</v>
      </c>
      <c r="G6" s="18" t="s">
        <v>196</v>
      </c>
      <c r="H6" s="20" t="s">
        <v>197</v>
      </c>
      <c r="I6" s="11" t="s">
        <v>198</v>
      </c>
      <c r="J6" s="39" t="s">
        <v>159</v>
      </c>
      <c r="K6" s="39">
        <v>9.478179947E9</v>
      </c>
      <c r="L6" s="14" t="s">
        <v>201</v>
      </c>
      <c r="M6" s="33" t="s">
        <v>207</v>
      </c>
      <c r="N6" s="20" t="s">
        <v>114</v>
      </c>
      <c r="O6" s="20" t="s">
        <v>209</v>
      </c>
      <c r="P6" s="18" t="s">
        <v>210</v>
      </c>
      <c r="Q6" s="35" t="s">
        <v>211</v>
      </c>
      <c r="R6" s="11" t="s">
        <v>212</v>
      </c>
      <c r="S6" s="11">
        <v>6.26514143948E11</v>
      </c>
    </row>
    <row r="7">
      <c r="A7" s="20">
        <v>6.0</v>
      </c>
      <c r="B7" s="22" t="s">
        <v>214</v>
      </c>
      <c r="C7" s="22" t="s">
        <v>215</v>
      </c>
      <c r="D7" s="22" t="s">
        <v>155</v>
      </c>
      <c r="E7" s="22" t="s">
        <v>156</v>
      </c>
      <c r="F7" s="22" t="s">
        <v>216</v>
      </c>
      <c r="G7" s="12" t="s">
        <v>71</v>
      </c>
      <c r="H7" s="20" t="s">
        <v>73</v>
      </c>
      <c r="I7" s="11" t="s">
        <v>219</v>
      </c>
      <c r="J7" s="11" t="s">
        <v>221</v>
      </c>
      <c r="K7" s="11">
        <v>9.888654421E9</v>
      </c>
      <c r="L7" s="14" t="s">
        <v>223</v>
      </c>
      <c r="M7" s="33" t="s">
        <v>227</v>
      </c>
      <c r="N7" s="20" t="s">
        <v>228</v>
      </c>
      <c r="O7" s="34"/>
      <c r="P7" s="34"/>
      <c r="Q7" s="35" t="s">
        <v>230</v>
      </c>
      <c r="R7" s="11" t="s">
        <v>231</v>
      </c>
      <c r="S7" s="11">
        <v>2.71341035441E11</v>
      </c>
    </row>
    <row r="8">
      <c r="A8" s="11">
        <v>7.0</v>
      </c>
      <c r="B8" s="22" t="s">
        <v>232</v>
      </c>
      <c r="C8" s="22" t="s">
        <v>233</v>
      </c>
      <c r="D8" s="22" t="s">
        <v>155</v>
      </c>
      <c r="E8" s="22" t="s">
        <v>66</v>
      </c>
      <c r="F8" s="40" t="s">
        <v>235</v>
      </c>
      <c r="G8" s="12" t="s">
        <v>71</v>
      </c>
      <c r="H8" s="20" t="s">
        <v>73</v>
      </c>
      <c r="I8" s="41" t="s">
        <v>237</v>
      </c>
      <c r="J8" s="41" t="s">
        <v>221</v>
      </c>
      <c r="K8" s="11">
        <v>9.592870342E9</v>
      </c>
      <c r="L8" s="42" t="s">
        <v>241</v>
      </c>
      <c r="M8" s="43"/>
      <c r="N8" s="20" t="s">
        <v>228</v>
      </c>
      <c r="O8" s="25" t="s">
        <v>244</v>
      </c>
      <c r="P8" s="44"/>
      <c r="Q8" s="45" t="s">
        <v>247</v>
      </c>
      <c r="R8" s="41" t="s">
        <v>249</v>
      </c>
      <c r="S8" s="20">
        <v>8.23689723278E11</v>
      </c>
    </row>
    <row r="9">
      <c r="A9" s="20">
        <v>8.0</v>
      </c>
      <c r="B9" s="22" t="s">
        <v>252</v>
      </c>
      <c r="C9" s="22" t="s">
        <v>253</v>
      </c>
      <c r="D9" s="22" t="s">
        <v>155</v>
      </c>
      <c r="E9" s="22" t="s">
        <v>156</v>
      </c>
      <c r="F9" s="40" t="s">
        <v>254</v>
      </c>
      <c r="G9" s="12" t="s">
        <v>71</v>
      </c>
      <c r="H9" s="20" t="s">
        <v>73</v>
      </c>
      <c r="I9" s="41" t="s">
        <v>256</v>
      </c>
      <c r="J9" s="41" t="s">
        <v>257</v>
      </c>
      <c r="K9" s="11">
        <v>8.847547227E9</v>
      </c>
      <c r="L9" s="14" t="s">
        <v>258</v>
      </c>
      <c r="M9" s="33" t="s">
        <v>263</v>
      </c>
      <c r="N9" s="25" t="s">
        <v>228</v>
      </c>
      <c r="O9" s="46">
        <v>45474.0</v>
      </c>
      <c r="P9" s="44"/>
      <c r="Q9" s="45" t="s">
        <v>266</v>
      </c>
      <c r="R9" s="20" t="s">
        <v>267</v>
      </c>
      <c r="S9" s="20">
        <v>5.33868540697E11</v>
      </c>
    </row>
    <row r="10">
      <c r="A10" s="11">
        <v>9.0</v>
      </c>
      <c r="B10" s="22" t="s">
        <v>270</v>
      </c>
      <c r="C10" s="22" t="s">
        <v>271</v>
      </c>
      <c r="D10" s="22" t="s">
        <v>155</v>
      </c>
      <c r="E10" s="22" t="s">
        <v>156</v>
      </c>
      <c r="F10" s="40" t="s">
        <v>274</v>
      </c>
      <c r="G10" s="18" t="s">
        <v>196</v>
      </c>
      <c r="H10" s="20" t="s">
        <v>73</v>
      </c>
      <c r="I10" s="41" t="s">
        <v>277</v>
      </c>
      <c r="J10" s="41" t="s">
        <v>159</v>
      </c>
      <c r="K10" s="20">
        <v>8.725011001E9</v>
      </c>
      <c r="L10" s="14" t="s">
        <v>279</v>
      </c>
      <c r="M10" s="33" t="s">
        <v>280</v>
      </c>
      <c r="N10" s="25" t="s">
        <v>228</v>
      </c>
      <c r="O10" s="46">
        <v>45117.0</v>
      </c>
      <c r="P10" s="44"/>
      <c r="Q10" s="45" t="s">
        <v>283</v>
      </c>
      <c r="R10" s="41" t="s">
        <v>284</v>
      </c>
      <c r="S10" s="20">
        <v>6.5159483003E11</v>
      </c>
    </row>
    <row r="11">
      <c r="A11" s="20">
        <v>10.0</v>
      </c>
      <c r="B11" s="22" t="s">
        <v>288</v>
      </c>
      <c r="C11" s="22" t="s">
        <v>289</v>
      </c>
      <c r="D11" s="22" t="s">
        <v>155</v>
      </c>
      <c r="E11" s="22" t="s">
        <v>156</v>
      </c>
      <c r="F11" s="40" t="s">
        <v>292</v>
      </c>
      <c r="G11" s="12" t="s">
        <v>71</v>
      </c>
      <c r="H11" s="20" t="s">
        <v>73</v>
      </c>
      <c r="I11" s="56">
        <v>35265.0</v>
      </c>
      <c r="J11" s="41" t="s">
        <v>78</v>
      </c>
      <c r="K11" s="20">
        <v>9.8776443E9</v>
      </c>
      <c r="L11" s="14" t="s">
        <v>300</v>
      </c>
      <c r="M11" s="33" t="s">
        <v>303</v>
      </c>
      <c r="N11" s="25" t="s">
        <v>228</v>
      </c>
      <c r="O11" s="46">
        <v>45117.0</v>
      </c>
      <c r="P11" s="44"/>
      <c r="Q11" s="45" t="s">
        <v>283</v>
      </c>
      <c r="R11" s="41" t="s">
        <v>307</v>
      </c>
      <c r="S11" s="20">
        <v>6.20932806318E11</v>
      </c>
    </row>
    <row r="12">
      <c r="A12" s="11">
        <v>11.0</v>
      </c>
      <c r="B12" s="57" t="s">
        <v>310</v>
      </c>
      <c r="C12" s="58" t="s">
        <v>312</v>
      </c>
      <c r="D12" s="22" t="s">
        <v>155</v>
      </c>
      <c r="E12" s="22" t="s">
        <v>156</v>
      </c>
      <c r="F12" s="41" t="s">
        <v>313</v>
      </c>
      <c r="G12" s="18" t="s">
        <v>196</v>
      </c>
      <c r="H12" s="41" t="s">
        <v>316</v>
      </c>
      <c r="I12" s="41" t="s">
        <v>319</v>
      </c>
      <c r="J12" s="41" t="s">
        <v>159</v>
      </c>
      <c r="K12" s="57">
        <v>9.814852477E9</v>
      </c>
      <c r="L12" s="59" t="s">
        <v>323</v>
      </c>
      <c r="M12" s="33" t="s">
        <v>325</v>
      </c>
      <c r="N12" s="20" t="s">
        <v>114</v>
      </c>
      <c r="O12" s="18" t="s">
        <v>327</v>
      </c>
      <c r="P12" s="21"/>
      <c r="Q12" s="45" t="s">
        <v>328</v>
      </c>
      <c r="R12" s="41" t="s">
        <v>329</v>
      </c>
      <c r="S12" s="20">
        <v>4.02204250802E11</v>
      </c>
    </row>
    <row r="13">
      <c r="A13" s="20">
        <v>12.0</v>
      </c>
      <c r="B13" s="60" t="s">
        <v>333</v>
      </c>
      <c r="C13" s="58" t="s">
        <v>334</v>
      </c>
      <c r="D13" s="22" t="s">
        <v>155</v>
      </c>
      <c r="E13" s="22" t="s">
        <v>156</v>
      </c>
      <c r="F13" s="18" t="s">
        <v>337</v>
      </c>
      <c r="G13" s="18" t="s">
        <v>196</v>
      </c>
      <c r="H13" s="20" t="s">
        <v>73</v>
      </c>
      <c r="I13" s="41" t="s">
        <v>341</v>
      </c>
      <c r="J13" s="18" t="s">
        <v>221</v>
      </c>
      <c r="K13" s="57">
        <v>8.264783139E9</v>
      </c>
      <c r="L13" s="59" t="s">
        <v>345</v>
      </c>
      <c r="M13" s="33" t="s">
        <v>346</v>
      </c>
      <c r="N13" s="20" t="s">
        <v>114</v>
      </c>
      <c r="O13" s="18" t="s">
        <v>327</v>
      </c>
      <c r="P13" s="21"/>
      <c r="Q13" s="45" t="s">
        <v>328</v>
      </c>
      <c r="R13" s="18" t="s">
        <v>348</v>
      </c>
      <c r="S13" s="6">
        <v>7.67740011593E11</v>
      </c>
    </row>
    <row r="14">
      <c r="A14" s="11">
        <v>13.0</v>
      </c>
      <c r="B14" s="22" t="s">
        <v>349</v>
      </c>
      <c r="C14" s="58" t="s">
        <v>350</v>
      </c>
      <c r="D14" s="22" t="s">
        <v>155</v>
      </c>
      <c r="E14" s="22" t="s">
        <v>156</v>
      </c>
      <c r="F14" s="18" t="s">
        <v>351</v>
      </c>
      <c r="G14" s="18" t="s">
        <v>196</v>
      </c>
      <c r="H14" s="20" t="s">
        <v>73</v>
      </c>
      <c r="I14" s="62" t="s">
        <v>352</v>
      </c>
      <c r="J14" s="18" t="s">
        <v>257</v>
      </c>
      <c r="K14" s="57">
        <v>7.00985014E9</v>
      </c>
      <c r="L14" s="59" t="s">
        <v>353</v>
      </c>
      <c r="M14" s="33" t="s">
        <v>357</v>
      </c>
      <c r="N14" s="20" t="s">
        <v>114</v>
      </c>
      <c r="O14" s="18" t="s">
        <v>327</v>
      </c>
      <c r="P14" s="21"/>
      <c r="Q14" s="45" t="s">
        <v>328</v>
      </c>
      <c r="R14" s="18" t="s">
        <v>361</v>
      </c>
      <c r="S14" s="6">
        <v>8.2396443325E11</v>
      </c>
    </row>
    <row r="15">
      <c r="A15" s="20">
        <v>14.0</v>
      </c>
      <c r="B15" s="22" t="s">
        <v>365</v>
      </c>
      <c r="C15" s="63"/>
      <c r="D15" s="22" t="s">
        <v>155</v>
      </c>
      <c r="E15" s="22" t="s">
        <v>156</v>
      </c>
      <c r="F15" s="18" t="s">
        <v>366</v>
      </c>
      <c r="G15" s="18" t="s">
        <v>196</v>
      </c>
      <c r="H15" s="20" t="s">
        <v>73</v>
      </c>
      <c r="I15" s="11" t="s">
        <v>367</v>
      </c>
      <c r="K15" s="11">
        <v>7.626922724E9</v>
      </c>
      <c r="N15" s="20" t="s">
        <v>228</v>
      </c>
      <c r="O15" s="20"/>
      <c r="R15" s="11" t="s">
        <v>369</v>
      </c>
      <c r="S15" s="11">
        <v>6.07287559286E11</v>
      </c>
      <c r="T15" s="64"/>
    </row>
    <row r="16">
      <c r="A16" s="11">
        <v>15.0</v>
      </c>
      <c r="B16" s="22" t="s">
        <v>370</v>
      </c>
      <c r="C16" s="65"/>
      <c r="D16" s="22" t="s">
        <v>155</v>
      </c>
      <c r="E16" s="22" t="s">
        <v>156</v>
      </c>
      <c r="F16" s="22" t="s">
        <v>216</v>
      </c>
      <c r="H16" s="20" t="s">
        <v>73</v>
      </c>
      <c r="I16" s="11" t="s">
        <v>371</v>
      </c>
      <c r="K16" s="11">
        <v>8.054458898E9</v>
      </c>
      <c r="L16" s="66"/>
      <c r="N16" s="20" t="s">
        <v>228</v>
      </c>
      <c r="Q16" s="20" t="s">
        <v>373</v>
      </c>
      <c r="R16" s="11" t="s">
        <v>374</v>
      </c>
      <c r="S16" s="11">
        <v>4.64850288654E11</v>
      </c>
      <c r="T16" s="64"/>
    </row>
    <row r="17">
      <c r="A17" s="20">
        <v>16.0</v>
      </c>
      <c r="B17" s="22" t="s">
        <v>375</v>
      </c>
      <c r="C17" s="58" t="s">
        <v>376</v>
      </c>
      <c r="D17" s="22" t="s">
        <v>155</v>
      </c>
      <c r="E17" s="22" t="s">
        <v>156</v>
      </c>
      <c r="F17" s="21"/>
      <c r="G17" s="18" t="s">
        <v>196</v>
      </c>
      <c r="H17" s="18" t="s">
        <v>377</v>
      </c>
      <c r="I17" s="41" t="s">
        <v>378</v>
      </c>
      <c r="J17" s="18" t="s">
        <v>257</v>
      </c>
      <c r="K17" s="57">
        <v>9.64688591E9</v>
      </c>
      <c r="L17" s="59" t="s">
        <v>381</v>
      </c>
      <c r="M17" s="67"/>
      <c r="N17" s="25" t="s">
        <v>228</v>
      </c>
      <c r="O17" s="18" t="s">
        <v>387</v>
      </c>
      <c r="P17" s="21"/>
      <c r="Q17" s="68"/>
      <c r="R17" s="18" t="s">
        <v>388</v>
      </c>
      <c r="S17" s="6">
        <v>6.64020255802E11</v>
      </c>
    </row>
    <row r="18">
      <c r="A18" s="11">
        <v>17.0</v>
      </c>
      <c r="B18" s="6" t="s">
        <v>391</v>
      </c>
      <c r="C18" s="18" t="s">
        <v>392</v>
      </c>
      <c r="D18" s="22" t="s">
        <v>155</v>
      </c>
      <c r="E18" s="22" t="s">
        <v>66</v>
      </c>
      <c r="F18" s="18" t="s">
        <v>393</v>
      </c>
      <c r="G18" s="12" t="s">
        <v>71</v>
      </c>
      <c r="H18" s="18" t="s">
        <v>395</v>
      </c>
      <c r="I18" s="41" t="s">
        <v>396</v>
      </c>
      <c r="J18" s="18" t="s">
        <v>159</v>
      </c>
      <c r="K18" s="6" t="s">
        <v>398</v>
      </c>
      <c r="L18" s="26" t="s">
        <v>399</v>
      </c>
      <c r="M18" s="28"/>
      <c r="N18" s="20" t="s">
        <v>114</v>
      </c>
      <c r="O18" s="18" t="s">
        <v>327</v>
      </c>
      <c r="P18" s="21"/>
      <c r="Q18" s="69" t="s">
        <v>328</v>
      </c>
      <c r="R18" s="18" t="s">
        <v>406</v>
      </c>
      <c r="S18" s="6">
        <v>3.41330684369E11</v>
      </c>
    </row>
    <row r="19">
      <c r="A19" s="20">
        <v>18.0</v>
      </c>
      <c r="B19" s="18" t="s">
        <v>409</v>
      </c>
      <c r="C19" s="58" t="s">
        <v>410</v>
      </c>
      <c r="D19" s="22" t="s">
        <v>411</v>
      </c>
      <c r="E19" s="22" t="s">
        <v>66</v>
      </c>
      <c r="F19" s="18" t="s">
        <v>414</v>
      </c>
      <c r="G19" s="18" t="s">
        <v>196</v>
      </c>
      <c r="H19" s="21"/>
      <c r="I19" s="56">
        <v>37707.0</v>
      </c>
      <c r="J19" s="18" t="s">
        <v>159</v>
      </c>
      <c r="K19" s="57">
        <v>7.986549848E9</v>
      </c>
      <c r="L19" s="26" t="s">
        <v>416</v>
      </c>
      <c r="M19" s="26" t="s">
        <v>420</v>
      </c>
      <c r="N19" s="25" t="s">
        <v>228</v>
      </c>
      <c r="O19" s="70">
        <v>45383.0</v>
      </c>
      <c r="P19" s="7"/>
      <c r="Q19" s="45" t="s">
        <v>328</v>
      </c>
      <c r="R19" s="21"/>
      <c r="S19" s="6">
        <v>9.92118819812E11</v>
      </c>
    </row>
    <row r="20">
      <c r="A20" s="11">
        <v>19.0</v>
      </c>
      <c r="B20" s="71" t="s">
        <v>425</v>
      </c>
      <c r="C20" s="58" t="s">
        <v>429</v>
      </c>
      <c r="D20" s="22" t="s">
        <v>411</v>
      </c>
      <c r="E20" s="22" t="s">
        <v>66</v>
      </c>
      <c r="F20" s="18" t="s">
        <v>432</v>
      </c>
      <c r="G20" s="18" t="s">
        <v>196</v>
      </c>
      <c r="H20" s="21"/>
      <c r="I20" s="41" t="s">
        <v>433</v>
      </c>
      <c r="J20" s="18" t="s">
        <v>159</v>
      </c>
      <c r="K20" s="57">
        <v>7.71015606E9</v>
      </c>
      <c r="L20" s="26" t="s">
        <v>435</v>
      </c>
      <c r="M20" s="28"/>
      <c r="N20" s="25" t="s">
        <v>228</v>
      </c>
      <c r="O20" s="72" t="s">
        <v>438</v>
      </c>
      <c r="P20" s="7"/>
      <c r="Q20" s="45" t="s">
        <v>328</v>
      </c>
      <c r="R20" s="21"/>
      <c r="S20" s="6">
        <v>7.08265079616E11</v>
      </c>
    </row>
    <row r="21">
      <c r="A21" s="20">
        <v>20.0</v>
      </c>
      <c r="B21" s="73" t="s">
        <v>444</v>
      </c>
      <c r="C21" s="21"/>
      <c r="D21" s="74" t="s">
        <v>445</v>
      </c>
      <c r="E21" s="22" t="s">
        <v>156</v>
      </c>
      <c r="F21" s="18" t="s">
        <v>446</v>
      </c>
      <c r="G21" s="12" t="s">
        <v>71</v>
      </c>
      <c r="H21" s="21"/>
      <c r="I21" s="21"/>
      <c r="J21" s="21"/>
      <c r="K21" s="21"/>
      <c r="L21" s="21"/>
      <c r="M21" s="21"/>
      <c r="N21" s="25" t="s">
        <v>228</v>
      </c>
      <c r="O21" s="21"/>
      <c r="P21" s="21"/>
      <c r="Q21" s="75"/>
      <c r="R21" s="21"/>
      <c r="S21" s="21"/>
    </row>
    <row r="22">
      <c r="A22" s="11">
        <v>21.0</v>
      </c>
      <c r="B22" s="73" t="s">
        <v>453</v>
      </c>
      <c r="C22" s="21"/>
      <c r="D22" s="74" t="s">
        <v>445</v>
      </c>
      <c r="E22" s="22" t="s">
        <v>66</v>
      </c>
      <c r="F22" s="18" t="s">
        <v>454</v>
      </c>
      <c r="G22" s="18" t="s">
        <v>196</v>
      </c>
      <c r="H22" s="21"/>
      <c r="I22" s="27"/>
      <c r="J22" s="21"/>
      <c r="K22" s="21"/>
      <c r="L22" s="21"/>
      <c r="M22" s="21"/>
      <c r="N22" s="25" t="s">
        <v>228</v>
      </c>
      <c r="O22" s="76">
        <v>44967.0</v>
      </c>
      <c r="P22" s="77"/>
      <c r="Q22" s="78"/>
      <c r="R22" s="21"/>
      <c r="S22" s="21"/>
    </row>
    <row r="23">
      <c r="A23" s="20">
        <v>22.0</v>
      </c>
      <c r="B23" s="73" t="s">
        <v>463</v>
      </c>
      <c r="C23" s="21"/>
      <c r="D23" s="74" t="s">
        <v>445</v>
      </c>
      <c r="E23" s="22" t="s">
        <v>66</v>
      </c>
      <c r="F23" s="18" t="s">
        <v>466</v>
      </c>
      <c r="G23" s="12" t="s">
        <v>71</v>
      </c>
      <c r="H23" s="21"/>
      <c r="I23" s="41" t="s">
        <v>468</v>
      </c>
      <c r="J23" s="18" t="s">
        <v>221</v>
      </c>
      <c r="K23" s="18">
        <v>9.80347312E9</v>
      </c>
      <c r="L23" s="18" t="s">
        <v>471</v>
      </c>
      <c r="M23" s="21"/>
      <c r="N23" s="25" t="s">
        <v>228</v>
      </c>
      <c r="O23" s="79">
        <v>45423.0</v>
      </c>
      <c r="P23" s="77"/>
      <c r="Q23" s="45" t="s">
        <v>472</v>
      </c>
      <c r="R23" s="21"/>
      <c r="S23" s="21"/>
    </row>
    <row r="24">
      <c r="A24" s="11">
        <v>23.0</v>
      </c>
      <c r="B24" s="73" t="s">
        <v>474</v>
      </c>
      <c r="C24" s="18" t="s">
        <v>477</v>
      </c>
      <c r="D24" s="18" t="s">
        <v>445</v>
      </c>
      <c r="E24" s="22" t="s">
        <v>66</v>
      </c>
      <c r="F24" s="18" t="s">
        <v>466</v>
      </c>
      <c r="G24" s="18" t="s">
        <v>196</v>
      </c>
      <c r="H24" s="20" t="s">
        <v>73</v>
      </c>
      <c r="I24" s="18" t="s">
        <v>480</v>
      </c>
      <c r="J24" s="18" t="s">
        <v>159</v>
      </c>
      <c r="K24" s="15">
        <v>8.725955421E9</v>
      </c>
      <c r="L24" s="80" t="s">
        <v>484</v>
      </c>
      <c r="M24" s="21"/>
      <c r="N24" s="25" t="s">
        <v>228</v>
      </c>
      <c r="O24" s="81">
        <v>45555.0</v>
      </c>
      <c r="P24" s="77"/>
      <c r="Q24" s="27"/>
      <c r="R24" s="21"/>
      <c r="S24" s="21"/>
    </row>
    <row r="25">
      <c r="A25" s="20">
        <v>24.0</v>
      </c>
      <c r="B25" s="18" t="s">
        <v>490</v>
      </c>
      <c r="C25" s="21"/>
      <c r="D25" s="22" t="s">
        <v>492</v>
      </c>
      <c r="E25" s="22" t="s">
        <v>66</v>
      </c>
      <c r="F25" s="18" t="s">
        <v>494</v>
      </c>
      <c r="G25" s="18" t="s">
        <v>196</v>
      </c>
      <c r="H25" s="20"/>
      <c r="I25" s="21"/>
      <c r="J25" s="21"/>
      <c r="K25" s="21"/>
      <c r="L25" s="21"/>
      <c r="M25" s="21"/>
      <c r="N25" s="25" t="s">
        <v>228</v>
      </c>
      <c r="O25" s="21"/>
      <c r="P25" s="21"/>
      <c r="Q25" s="27"/>
      <c r="R25" s="21"/>
      <c r="S25" s="21"/>
    </row>
    <row r="26">
      <c r="A26" s="11">
        <v>25.0</v>
      </c>
      <c r="B26" s="18" t="s">
        <v>502</v>
      </c>
      <c r="C26" s="18" t="s">
        <v>504</v>
      </c>
      <c r="D26" s="22" t="s">
        <v>155</v>
      </c>
      <c r="E26" s="22" t="s">
        <v>156</v>
      </c>
      <c r="F26" s="18" t="s">
        <v>505</v>
      </c>
      <c r="G26" s="18" t="s">
        <v>196</v>
      </c>
      <c r="H26" s="20" t="s">
        <v>73</v>
      </c>
      <c r="I26" s="21"/>
      <c r="J26" s="21"/>
      <c r="K26" s="18">
        <v>7.814488253E9</v>
      </c>
      <c r="L26" s="18" t="s">
        <v>507</v>
      </c>
      <c r="M26" s="21"/>
      <c r="N26" s="25" t="s">
        <v>228</v>
      </c>
      <c r="O26" s="18" t="s">
        <v>508</v>
      </c>
      <c r="P26" s="21"/>
      <c r="Q26" s="27"/>
      <c r="R26" s="21"/>
      <c r="S26" s="21"/>
    </row>
    <row r="27">
      <c r="A27" s="20">
        <v>26.0</v>
      </c>
      <c r="B27" s="18" t="s">
        <v>514</v>
      </c>
      <c r="C27" s="18" t="s">
        <v>504</v>
      </c>
      <c r="D27" s="22" t="s">
        <v>155</v>
      </c>
      <c r="E27" s="22" t="s">
        <v>156</v>
      </c>
      <c r="F27" s="21"/>
      <c r="G27" s="18" t="s">
        <v>196</v>
      </c>
      <c r="H27" s="20" t="s">
        <v>73</v>
      </c>
      <c r="I27" s="21"/>
      <c r="J27" s="21"/>
      <c r="K27" s="21"/>
      <c r="M27" s="21"/>
      <c r="N27" s="25" t="s">
        <v>228</v>
      </c>
      <c r="O27" s="18" t="s">
        <v>508</v>
      </c>
      <c r="P27" s="21"/>
      <c r="Q27" s="27"/>
      <c r="R27" s="21"/>
      <c r="S27" s="21"/>
    </row>
    <row r="28">
      <c r="A28" s="20"/>
      <c r="B28" s="22"/>
      <c r="C28" s="22"/>
      <c r="D28" s="22"/>
      <c r="E28" s="20"/>
      <c r="F28" s="51"/>
      <c r="G28" s="51"/>
      <c r="H28" s="21"/>
      <c r="I28" s="21"/>
      <c r="J28" s="21"/>
      <c r="K28" s="21"/>
      <c r="L28" s="21"/>
      <c r="M28" s="21"/>
      <c r="N28" s="25" t="s">
        <v>228</v>
      </c>
      <c r="O28" s="21"/>
      <c r="P28" s="21"/>
      <c r="Q28" s="27"/>
      <c r="R28" s="21"/>
      <c r="S28" s="21"/>
    </row>
    <row r="29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</row>
    <row r="30">
      <c r="A30" s="68"/>
      <c r="B30" s="68"/>
      <c r="C30" s="68"/>
      <c r="D30" s="68"/>
      <c r="E30" s="68"/>
      <c r="F30" s="74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</row>
    <row r="3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</row>
  </sheetData>
  <hyperlinks>
    <hyperlink r:id="rId1" ref="L2"/>
    <hyperlink r:id="rId2" ref="M2"/>
    <hyperlink r:id="rId3" ref="L4"/>
    <hyperlink r:id="rId4" ref="M4"/>
    <hyperlink r:id="rId5" ref="L5"/>
    <hyperlink r:id="rId6" ref="M5"/>
    <hyperlink r:id="rId7" ref="L6"/>
    <hyperlink r:id="rId8" ref="M6"/>
    <hyperlink r:id="rId9" ref="L7"/>
    <hyperlink r:id="rId10" ref="M7"/>
    <hyperlink r:id="rId11" ref="L9"/>
    <hyperlink r:id="rId12" ref="M9"/>
    <hyperlink r:id="rId13" ref="L10"/>
    <hyperlink r:id="rId14" ref="M10"/>
    <hyperlink r:id="rId15" ref="L11"/>
    <hyperlink r:id="rId16" ref="M11"/>
    <hyperlink r:id="rId17" ref="L12"/>
    <hyperlink r:id="rId18" ref="M12"/>
    <hyperlink r:id="rId19" ref="L13"/>
    <hyperlink r:id="rId20" ref="M13"/>
    <hyperlink r:id="rId21" ref="L14"/>
    <hyperlink r:id="rId22" ref="M14"/>
    <hyperlink r:id="rId23" ref="L18"/>
    <hyperlink r:id="rId24" ref="L19"/>
    <hyperlink r:id="rId25" ref="M19"/>
    <hyperlink r:id="rId26" ref="L20"/>
    <hyperlink r:id="rId27" ref="L24"/>
  </hyperlinks>
  <drawing r:id="rId2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38</v>
      </c>
      <c r="B1" s="8" t="s">
        <v>42</v>
      </c>
      <c r="C1" s="8" t="s">
        <v>43</v>
      </c>
      <c r="D1" s="8" t="s">
        <v>45</v>
      </c>
      <c r="E1" s="10" t="s">
        <v>47</v>
      </c>
      <c r="F1" s="8" t="s">
        <v>5</v>
      </c>
      <c r="G1" s="8" t="s">
        <v>242</v>
      </c>
      <c r="H1" s="8" t="s">
        <v>54</v>
      </c>
      <c r="I1" s="8" t="s">
        <v>29</v>
      </c>
      <c r="J1" s="8" t="s">
        <v>55</v>
      </c>
      <c r="K1" s="8" t="s">
        <v>7</v>
      </c>
      <c r="L1" s="8" t="s">
        <v>56</v>
      </c>
      <c r="M1" s="8" t="s">
        <v>57</v>
      </c>
      <c r="N1" s="10" t="s">
        <v>59</v>
      </c>
      <c r="O1" s="10" t="s">
        <v>60</v>
      </c>
      <c r="P1" s="8" t="s">
        <v>62</v>
      </c>
      <c r="Q1" s="8" t="s">
        <v>64</v>
      </c>
      <c r="R1" s="8" t="s">
        <v>65</v>
      </c>
      <c r="S1" s="8" t="s">
        <v>67</v>
      </c>
      <c r="T1" s="8" t="s">
        <v>70</v>
      </c>
      <c r="U1" s="8" t="s">
        <v>72</v>
      </c>
      <c r="V1" s="8" t="s">
        <v>74</v>
      </c>
      <c r="W1" s="8" t="s">
        <v>75</v>
      </c>
      <c r="X1" s="8" t="s">
        <v>35</v>
      </c>
      <c r="Y1" s="8" t="s">
        <v>79</v>
      </c>
      <c r="Z1" s="8" t="s">
        <v>80</v>
      </c>
      <c r="AA1" s="8" t="s">
        <v>81</v>
      </c>
      <c r="AB1" s="8" t="s">
        <v>82</v>
      </c>
      <c r="AC1" s="8" t="s">
        <v>83</v>
      </c>
      <c r="AD1" s="8" t="s">
        <v>86</v>
      </c>
      <c r="AE1" s="8" t="s">
        <v>88</v>
      </c>
      <c r="AF1" s="8" t="s">
        <v>89</v>
      </c>
    </row>
    <row r="2">
      <c r="A2" s="15">
        <v>350.0</v>
      </c>
      <c r="B2" s="47" t="s">
        <v>265</v>
      </c>
      <c r="C2" s="17" t="s">
        <v>116</v>
      </c>
      <c r="D2" s="48">
        <v>2.023010078828E12</v>
      </c>
      <c r="E2" s="49">
        <v>1.2242524703E10</v>
      </c>
      <c r="F2" s="50" t="s">
        <v>273</v>
      </c>
      <c r="G2" s="50" t="s">
        <v>275</v>
      </c>
      <c r="H2" s="50" t="s">
        <v>276</v>
      </c>
      <c r="I2" s="31" t="s">
        <v>126</v>
      </c>
      <c r="J2" s="31" t="s">
        <v>278</v>
      </c>
      <c r="K2" s="51"/>
      <c r="L2" s="52">
        <v>9.653212445E9</v>
      </c>
      <c r="M2" s="51"/>
      <c r="N2" s="7"/>
      <c r="O2" s="7"/>
      <c r="P2" s="7"/>
      <c r="Q2" s="31" t="s">
        <v>281</v>
      </c>
      <c r="R2" s="53"/>
      <c r="S2" s="54"/>
      <c r="T2" s="54"/>
      <c r="U2" s="54"/>
      <c r="V2" s="31" t="s">
        <v>187</v>
      </c>
      <c r="W2" s="51"/>
      <c r="X2" s="55"/>
      <c r="Y2" s="55"/>
      <c r="Z2" s="55"/>
      <c r="AA2" s="22"/>
      <c r="AB2" s="55"/>
      <c r="AC2" s="55"/>
      <c r="AD2" s="55"/>
      <c r="AE2" s="55"/>
      <c r="AF2" s="6">
        <v>9.33961E11</v>
      </c>
    </row>
    <row r="3">
      <c r="A3" s="15">
        <v>351.0</v>
      </c>
      <c r="B3" s="47" t="s">
        <v>265</v>
      </c>
      <c r="C3" s="17" t="s">
        <v>116</v>
      </c>
      <c r="D3" s="48">
        <v>2.024010000529E12</v>
      </c>
      <c r="E3" s="49">
        <v>1.2242524704E10</v>
      </c>
      <c r="F3" s="50" t="s">
        <v>298</v>
      </c>
      <c r="G3" s="50" t="s">
        <v>299</v>
      </c>
      <c r="H3" s="50" t="s">
        <v>301</v>
      </c>
      <c r="I3" s="31" t="s">
        <v>126</v>
      </c>
      <c r="J3" s="31" t="s">
        <v>302</v>
      </c>
      <c r="K3" s="51"/>
      <c r="L3" s="52">
        <v>8.968653954E9</v>
      </c>
      <c r="M3" s="51"/>
      <c r="N3" s="7"/>
      <c r="O3" s="7"/>
      <c r="P3" s="7"/>
      <c r="Q3" s="31" t="s">
        <v>305</v>
      </c>
      <c r="R3" s="54"/>
      <c r="S3" s="54"/>
      <c r="T3" s="54"/>
      <c r="U3" s="54"/>
      <c r="V3" s="31" t="s">
        <v>187</v>
      </c>
      <c r="W3" s="51"/>
      <c r="X3" s="55"/>
      <c r="Y3" s="55"/>
      <c r="Z3" s="55"/>
      <c r="AA3" s="6"/>
      <c r="AB3" s="55"/>
      <c r="AC3" s="55"/>
      <c r="AD3" s="55"/>
      <c r="AE3" s="55"/>
      <c r="AF3" s="6">
        <v>5.96812E11</v>
      </c>
    </row>
    <row r="4">
      <c r="A4" s="15">
        <v>352.0</v>
      </c>
      <c r="B4" s="47" t="s">
        <v>265</v>
      </c>
      <c r="C4" s="17" t="s">
        <v>116</v>
      </c>
      <c r="D4" s="48">
        <v>2.024010003944E12</v>
      </c>
      <c r="E4" s="49">
        <v>1.2242524705E10</v>
      </c>
      <c r="F4" s="50" t="s">
        <v>317</v>
      </c>
      <c r="G4" s="50" t="s">
        <v>318</v>
      </c>
      <c r="H4" s="50" t="s">
        <v>320</v>
      </c>
      <c r="I4" s="31" t="s">
        <v>164</v>
      </c>
      <c r="J4" s="31" t="s">
        <v>322</v>
      </c>
      <c r="K4" s="51"/>
      <c r="L4" s="52">
        <v>6.283470476E9</v>
      </c>
      <c r="M4" s="51"/>
      <c r="N4" s="7"/>
      <c r="O4" s="7"/>
      <c r="P4" s="7"/>
      <c r="Q4" s="31" t="s">
        <v>324</v>
      </c>
      <c r="R4" s="53"/>
      <c r="S4" s="54"/>
      <c r="T4" s="54"/>
      <c r="U4" s="54"/>
      <c r="V4" s="31" t="s">
        <v>140</v>
      </c>
      <c r="W4" s="51"/>
      <c r="X4" s="55"/>
      <c r="Y4" s="55"/>
      <c r="Z4" s="55"/>
      <c r="AA4" s="18"/>
      <c r="AB4" s="55"/>
      <c r="AC4" s="55"/>
      <c r="AD4" s="55"/>
      <c r="AE4" s="55"/>
      <c r="AF4" s="6">
        <v>5.62935E11</v>
      </c>
    </row>
    <row r="5">
      <c r="A5" s="15">
        <v>353.0</v>
      </c>
      <c r="B5" s="47" t="s">
        <v>265</v>
      </c>
      <c r="C5" s="17" t="s">
        <v>116</v>
      </c>
      <c r="D5" s="48">
        <v>2.024010004153E12</v>
      </c>
      <c r="E5" s="49">
        <v>1.2242524706E10</v>
      </c>
      <c r="F5" s="50" t="s">
        <v>336</v>
      </c>
      <c r="G5" s="50" t="s">
        <v>338</v>
      </c>
      <c r="H5" s="50" t="s">
        <v>339</v>
      </c>
      <c r="I5" s="31" t="s">
        <v>164</v>
      </c>
      <c r="J5" s="31" t="s">
        <v>342</v>
      </c>
      <c r="K5" s="51"/>
      <c r="L5" s="52">
        <v>8.360508047E9</v>
      </c>
      <c r="M5" s="51"/>
      <c r="N5" s="7"/>
      <c r="O5" s="7"/>
      <c r="P5" s="7"/>
      <c r="Q5" s="31" t="s">
        <v>347</v>
      </c>
      <c r="R5" s="53"/>
      <c r="S5" s="54"/>
      <c r="T5" s="54"/>
      <c r="U5" s="54"/>
      <c r="V5" s="31" t="s">
        <v>140</v>
      </c>
      <c r="W5" s="51"/>
      <c r="X5" s="55"/>
      <c r="Y5" s="55"/>
      <c r="Z5" s="55"/>
      <c r="AA5" s="61"/>
      <c r="AB5" s="55"/>
      <c r="AC5" s="55"/>
      <c r="AD5" s="55"/>
      <c r="AE5" s="55"/>
      <c r="AF5" s="6">
        <v>6.34545E11</v>
      </c>
    </row>
    <row r="6">
      <c r="A6" s="15">
        <v>354.0</v>
      </c>
      <c r="B6" s="47" t="s">
        <v>265</v>
      </c>
      <c r="C6" s="17" t="s">
        <v>116</v>
      </c>
      <c r="D6" s="48">
        <v>2.024010006505E12</v>
      </c>
      <c r="E6" s="49">
        <v>1.2242524707E10</v>
      </c>
      <c r="F6" s="50" t="s">
        <v>358</v>
      </c>
      <c r="G6" s="50" t="s">
        <v>359</v>
      </c>
      <c r="H6" s="50" t="s">
        <v>360</v>
      </c>
      <c r="I6" s="31" t="s">
        <v>126</v>
      </c>
      <c r="J6" s="31" t="s">
        <v>363</v>
      </c>
      <c r="K6" s="51"/>
      <c r="L6" s="52">
        <v>7.986842679E9</v>
      </c>
      <c r="M6" s="51"/>
      <c r="N6" s="7"/>
      <c r="O6" s="7"/>
      <c r="P6" s="7"/>
      <c r="Q6" s="31" t="s">
        <v>368</v>
      </c>
      <c r="R6" s="53"/>
      <c r="S6" s="54"/>
      <c r="T6" s="54"/>
      <c r="U6" s="54"/>
      <c r="V6" s="31" t="s">
        <v>187</v>
      </c>
      <c r="W6" s="51"/>
      <c r="X6" s="55"/>
      <c r="Y6" s="55"/>
      <c r="Z6" s="55"/>
      <c r="AA6" s="12"/>
      <c r="AB6" s="55"/>
      <c r="AC6" s="55"/>
      <c r="AD6" s="55"/>
      <c r="AE6" s="55"/>
      <c r="AF6" s="6">
        <v>3.59184E11</v>
      </c>
    </row>
    <row r="7">
      <c r="A7" s="15">
        <v>355.0</v>
      </c>
      <c r="B7" s="47" t="s">
        <v>265</v>
      </c>
      <c r="C7" s="17" t="s">
        <v>116</v>
      </c>
      <c r="D7" s="48">
        <v>2.024010006697E12</v>
      </c>
      <c r="E7" s="49">
        <v>1.2242524708E10</v>
      </c>
      <c r="F7" s="50" t="s">
        <v>382</v>
      </c>
      <c r="G7" s="50" t="s">
        <v>384</v>
      </c>
      <c r="H7" s="50" t="s">
        <v>385</v>
      </c>
      <c r="I7" s="31" t="s">
        <v>164</v>
      </c>
      <c r="J7" s="31" t="s">
        <v>386</v>
      </c>
      <c r="K7" s="51"/>
      <c r="L7" s="52">
        <v>8.054575169E9</v>
      </c>
      <c r="M7" s="51"/>
      <c r="N7" s="7"/>
      <c r="O7" s="7"/>
      <c r="P7" s="7"/>
      <c r="Q7" s="31" t="s">
        <v>390</v>
      </c>
      <c r="R7" s="53"/>
      <c r="S7" s="54"/>
      <c r="T7" s="54"/>
      <c r="U7" s="54"/>
      <c r="V7" s="31" t="s">
        <v>140</v>
      </c>
      <c r="W7" s="51"/>
      <c r="X7" s="55"/>
      <c r="Y7" s="55"/>
      <c r="Z7" s="55"/>
      <c r="AA7" s="22"/>
      <c r="AB7" s="55"/>
      <c r="AC7" s="55"/>
      <c r="AD7" s="55"/>
      <c r="AE7" s="55"/>
      <c r="AF7" s="6">
        <v>8.90318E11</v>
      </c>
    </row>
    <row r="8">
      <c r="A8" s="15">
        <v>356.0</v>
      </c>
      <c r="B8" s="47" t="s">
        <v>265</v>
      </c>
      <c r="C8" s="17" t="s">
        <v>116</v>
      </c>
      <c r="D8" s="48">
        <v>2.024010018478E12</v>
      </c>
      <c r="E8" s="49">
        <v>1.2242524709E10</v>
      </c>
      <c r="F8" s="50" t="s">
        <v>402</v>
      </c>
      <c r="G8" s="50" t="s">
        <v>403</v>
      </c>
      <c r="H8" s="50" t="s">
        <v>404</v>
      </c>
      <c r="I8" s="31" t="s">
        <v>126</v>
      </c>
      <c r="J8" s="31" t="s">
        <v>405</v>
      </c>
      <c r="K8" s="51"/>
      <c r="L8" s="52">
        <v>9.876472762E9</v>
      </c>
      <c r="M8" s="51"/>
      <c r="N8" s="7"/>
      <c r="O8" s="7"/>
      <c r="P8" s="7"/>
      <c r="Q8" s="31" t="s">
        <v>412</v>
      </c>
      <c r="R8" s="53"/>
      <c r="S8" s="54"/>
      <c r="T8" s="54"/>
      <c r="U8" s="54"/>
      <c r="V8" s="31" t="s">
        <v>187</v>
      </c>
      <c r="W8" s="51"/>
      <c r="X8" s="55"/>
      <c r="Y8" s="55"/>
      <c r="Z8" s="55"/>
      <c r="AA8" s="22"/>
      <c r="AB8" s="55"/>
      <c r="AC8" s="55"/>
      <c r="AD8" s="55"/>
      <c r="AE8" s="55"/>
      <c r="AF8" s="6">
        <v>7.32159E11</v>
      </c>
    </row>
    <row r="9">
      <c r="A9" s="15">
        <v>357.0</v>
      </c>
      <c r="B9" s="47" t="s">
        <v>265</v>
      </c>
      <c r="C9" s="17" t="s">
        <v>116</v>
      </c>
      <c r="D9" s="48">
        <v>2.024010056686E12</v>
      </c>
      <c r="E9" s="49">
        <v>1.224252471E10</v>
      </c>
      <c r="F9" s="50" t="s">
        <v>421</v>
      </c>
      <c r="G9" s="50" t="s">
        <v>422</v>
      </c>
      <c r="H9" s="50" t="s">
        <v>220</v>
      </c>
      <c r="I9" s="31" t="s">
        <v>164</v>
      </c>
      <c r="J9" s="31" t="s">
        <v>424</v>
      </c>
      <c r="K9" s="51"/>
      <c r="L9" s="52">
        <v>9.855470529E9</v>
      </c>
      <c r="M9" s="51"/>
      <c r="N9" s="7"/>
      <c r="O9" s="7"/>
      <c r="P9" s="7"/>
      <c r="Q9" s="31" t="s">
        <v>428</v>
      </c>
      <c r="R9" s="53"/>
      <c r="S9" s="54"/>
      <c r="T9" s="54"/>
      <c r="U9" s="54"/>
      <c r="V9" s="31" t="s">
        <v>140</v>
      </c>
      <c r="W9" s="51"/>
      <c r="X9" s="55"/>
      <c r="Y9" s="55"/>
      <c r="Z9" s="55"/>
      <c r="AA9" s="22"/>
      <c r="AB9" s="55"/>
      <c r="AC9" s="55"/>
      <c r="AD9" s="55"/>
      <c r="AE9" s="55"/>
      <c r="AF9" s="6">
        <v>2.07419E11</v>
      </c>
    </row>
    <row r="10">
      <c r="A10" s="15">
        <v>358.0</v>
      </c>
      <c r="B10" s="47" t="s">
        <v>265</v>
      </c>
      <c r="C10" s="17" t="s">
        <v>116</v>
      </c>
      <c r="D10" s="48">
        <v>2.024010091592E12</v>
      </c>
      <c r="E10" s="49">
        <v>1.2242524712E10</v>
      </c>
      <c r="F10" s="50" t="s">
        <v>439</v>
      </c>
      <c r="G10" s="50" t="s">
        <v>440</v>
      </c>
      <c r="H10" s="50" t="s">
        <v>441</v>
      </c>
      <c r="I10" s="31" t="s">
        <v>126</v>
      </c>
      <c r="J10" s="31" t="s">
        <v>443</v>
      </c>
      <c r="K10" s="51"/>
      <c r="L10" s="52">
        <v>7.696815542E9</v>
      </c>
      <c r="M10" s="51"/>
      <c r="N10" s="7"/>
      <c r="O10" s="7"/>
      <c r="P10" s="7"/>
      <c r="Q10" s="31" t="s">
        <v>447</v>
      </c>
      <c r="R10" s="53"/>
      <c r="S10" s="54"/>
      <c r="T10" s="54"/>
      <c r="U10" s="54"/>
      <c r="V10" s="31" t="s">
        <v>187</v>
      </c>
      <c r="W10" s="51"/>
      <c r="X10" s="55"/>
      <c r="Y10" s="55"/>
      <c r="Z10" s="55"/>
      <c r="AA10" s="22"/>
      <c r="AB10" s="55"/>
      <c r="AC10" s="55"/>
      <c r="AD10" s="55"/>
      <c r="AE10" s="55"/>
      <c r="AF10" s="6">
        <v>7.76244E11</v>
      </c>
    </row>
    <row r="11">
      <c r="A11" s="15">
        <v>359.0</v>
      </c>
      <c r="B11" s="47" t="s">
        <v>265</v>
      </c>
      <c r="C11" s="17" t="s">
        <v>116</v>
      </c>
      <c r="D11" s="48">
        <v>2.024010116957E12</v>
      </c>
      <c r="E11" s="49">
        <v>1.2242524713E10</v>
      </c>
      <c r="F11" s="50" t="s">
        <v>455</v>
      </c>
      <c r="G11" s="50" t="s">
        <v>456</v>
      </c>
      <c r="H11" s="50" t="s">
        <v>458</v>
      </c>
      <c r="I11" s="31" t="s">
        <v>126</v>
      </c>
      <c r="J11" s="31" t="s">
        <v>459</v>
      </c>
      <c r="K11" s="51"/>
      <c r="L11" s="52">
        <v>8.557928125E9</v>
      </c>
      <c r="M11" s="51"/>
      <c r="N11" s="7"/>
      <c r="O11" s="7"/>
      <c r="P11" s="7"/>
      <c r="Q11" s="31" t="s">
        <v>464</v>
      </c>
      <c r="R11" s="53"/>
      <c r="S11" s="53"/>
      <c r="T11" s="54"/>
      <c r="U11" s="54"/>
      <c r="V11" s="31" t="s">
        <v>187</v>
      </c>
      <c r="W11" s="51"/>
      <c r="X11" s="55"/>
      <c r="Y11" s="55"/>
      <c r="Z11" s="55"/>
      <c r="AA11" s="22"/>
      <c r="AB11" s="55"/>
      <c r="AC11" s="55"/>
      <c r="AD11" s="55"/>
      <c r="AE11" s="55"/>
      <c r="AF11" s="6">
        <v>6.84165E11</v>
      </c>
    </row>
    <row r="12">
      <c r="A12" s="15">
        <v>360.0</v>
      </c>
      <c r="B12" s="47" t="s">
        <v>265</v>
      </c>
      <c r="C12" s="17" t="s">
        <v>116</v>
      </c>
      <c r="D12" s="48">
        <v>2.024010149011E12</v>
      </c>
      <c r="E12" s="49">
        <v>1.2242524714E10</v>
      </c>
      <c r="F12" s="50" t="s">
        <v>473</v>
      </c>
      <c r="G12" s="50" t="s">
        <v>475</v>
      </c>
      <c r="H12" s="50" t="s">
        <v>476</v>
      </c>
      <c r="I12" s="31" t="s">
        <v>126</v>
      </c>
      <c r="J12" s="31" t="s">
        <v>479</v>
      </c>
      <c r="K12" s="51"/>
      <c r="L12" s="52">
        <v>9.988082605E9</v>
      </c>
      <c r="M12" s="51"/>
      <c r="N12" s="7"/>
      <c r="O12" s="7"/>
      <c r="P12" s="7"/>
      <c r="Q12" s="31" t="s">
        <v>482</v>
      </c>
      <c r="R12" s="53"/>
      <c r="S12" s="54"/>
      <c r="T12" s="54"/>
      <c r="U12" s="54"/>
      <c r="V12" s="31" t="s">
        <v>187</v>
      </c>
      <c r="W12" s="51"/>
      <c r="X12" s="55"/>
      <c r="Y12" s="55"/>
      <c r="Z12" s="55"/>
      <c r="AA12" s="22"/>
      <c r="AB12" s="55"/>
      <c r="AC12" s="55"/>
      <c r="AD12" s="55"/>
      <c r="AE12" s="55"/>
      <c r="AF12" s="6">
        <v>3.46635E11</v>
      </c>
    </row>
    <row r="13">
      <c r="A13" s="15">
        <v>361.0</v>
      </c>
      <c r="B13" s="47" t="s">
        <v>265</v>
      </c>
      <c r="C13" s="17" t="s">
        <v>116</v>
      </c>
      <c r="D13" s="48">
        <v>2.024010149059E12</v>
      </c>
      <c r="E13" s="49">
        <v>1.2242524715E10</v>
      </c>
      <c r="F13" s="50" t="s">
        <v>488</v>
      </c>
      <c r="G13" s="50" t="s">
        <v>489</v>
      </c>
      <c r="H13" s="50" t="s">
        <v>491</v>
      </c>
      <c r="I13" s="31" t="s">
        <v>126</v>
      </c>
      <c r="J13" s="31" t="s">
        <v>493</v>
      </c>
      <c r="K13" s="51"/>
      <c r="L13" s="52">
        <v>8.437815761E9</v>
      </c>
      <c r="M13" s="51"/>
      <c r="N13" s="7"/>
      <c r="O13" s="7"/>
      <c r="P13" s="7"/>
      <c r="Q13" s="31" t="s">
        <v>496</v>
      </c>
      <c r="R13" s="53"/>
      <c r="S13" s="54"/>
      <c r="T13" s="54"/>
      <c r="U13" s="54"/>
      <c r="V13" s="31" t="s">
        <v>187</v>
      </c>
      <c r="W13" s="51"/>
      <c r="X13" s="55"/>
      <c r="Y13" s="55"/>
      <c r="Z13" s="55"/>
      <c r="AA13" s="22"/>
      <c r="AB13" s="55"/>
      <c r="AC13" s="55"/>
      <c r="AD13" s="55"/>
      <c r="AE13" s="55"/>
      <c r="AF13" s="6">
        <v>9.18587E11</v>
      </c>
    </row>
    <row r="14">
      <c r="A14" s="15">
        <v>362.0</v>
      </c>
      <c r="B14" s="47" t="s">
        <v>265</v>
      </c>
      <c r="C14" s="17" t="s">
        <v>116</v>
      </c>
      <c r="D14" s="48">
        <v>2.025010000502E12</v>
      </c>
      <c r="E14" s="49">
        <v>1.2242524716E10</v>
      </c>
      <c r="F14" s="50" t="s">
        <v>509</v>
      </c>
      <c r="G14" s="50" t="s">
        <v>510</v>
      </c>
      <c r="H14" s="50" t="s">
        <v>512</v>
      </c>
      <c r="I14" s="31" t="s">
        <v>126</v>
      </c>
      <c r="J14" s="31" t="s">
        <v>513</v>
      </c>
      <c r="K14" s="51"/>
      <c r="L14" s="52">
        <v>8.283992869E9</v>
      </c>
      <c r="M14" s="51"/>
      <c r="N14" s="7"/>
      <c r="O14" s="7"/>
      <c r="P14" s="7"/>
      <c r="Q14" s="31" t="s">
        <v>518</v>
      </c>
      <c r="R14" s="53"/>
      <c r="S14" s="54"/>
      <c r="T14" s="54"/>
      <c r="U14" s="54"/>
      <c r="V14" s="31" t="s">
        <v>187</v>
      </c>
      <c r="W14" s="51"/>
      <c r="X14" s="55"/>
      <c r="Y14" s="55"/>
      <c r="Z14" s="55"/>
      <c r="AA14" s="57"/>
      <c r="AB14" s="55"/>
      <c r="AC14" s="55"/>
      <c r="AD14" s="55"/>
      <c r="AE14" s="55"/>
      <c r="AF14" s="6">
        <v>2.79435E11</v>
      </c>
    </row>
    <row r="15">
      <c r="A15" s="15">
        <v>363.0</v>
      </c>
      <c r="B15" s="47" t="s">
        <v>265</v>
      </c>
      <c r="C15" s="17" t="s">
        <v>116</v>
      </c>
      <c r="D15" s="48">
        <v>2.025010000736E12</v>
      </c>
      <c r="E15" s="49">
        <v>1.2242524717E10</v>
      </c>
      <c r="F15" s="50" t="s">
        <v>523</v>
      </c>
      <c r="G15" s="50" t="s">
        <v>524</v>
      </c>
      <c r="H15" s="50" t="s">
        <v>525</v>
      </c>
      <c r="I15" s="31" t="s">
        <v>164</v>
      </c>
      <c r="J15" s="31" t="s">
        <v>527</v>
      </c>
      <c r="K15" s="51"/>
      <c r="L15" s="52">
        <v>8.968662514E9</v>
      </c>
      <c r="M15" s="51"/>
      <c r="N15" s="7"/>
      <c r="O15" s="7"/>
      <c r="P15" s="7"/>
      <c r="Q15" s="31" t="s">
        <v>532</v>
      </c>
      <c r="R15" s="53"/>
      <c r="S15" s="53"/>
      <c r="T15" s="54"/>
      <c r="U15" s="54"/>
      <c r="V15" s="31" t="s">
        <v>140</v>
      </c>
      <c r="W15" s="51"/>
      <c r="X15" s="55"/>
      <c r="Y15" s="55"/>
      <c r="Z15" s="55"/>
      <c r="AA15" s="60"/>
      <c r="AB15" s="55"/>
      <c r="AC15" s="55"/>
      <c r="AD15" s="55"/>
      <c r="AE15" s="55"/>
    </row>
    <row r="16">
      <c r="A16" s="15">
        <v>364.0</v>
      </c>
      <c r="B16" s="47" t="s">
        <v>265</v>
      </c>
      <c r="C16" s="17" t="s">
        <v>116</v>
      </c>
      <c r="D16" s="48">
        <v>2.02501000078E12</v>
      </c>
      <c r="E16" s="49">
        <v>1.2242524718E10</v>
      </c>
      <c r="F16" s="50" t="s">
        <v>535</v>
      </c>
      <c r="G16" s="50" t="s">
        <v>537</v>
      </c>
      <c r="H16" s="50" t="s">
        <v>538</v>
      </c>
      <c r="I16" s="31" t="s">
        <v>126</v>
      </c>
      <c r="J16" s="31" t="s">
        <v>539</v>
      </c>
      <c r="K16" s="51"/>
      <c r="L16" s="52">
        <v>9.310500095E9</v>
      </c>
      <c r="M16" s="51"/>
      <c r="N16" s="7"/>
      <c r="O16" s="7"/>
      <c r="P16" s="7"/>
      <c r="Q16" s="31" t="s">
        <v>542</v>
      </c>
      <c r="R16" s="54"/>
      <c r="S16" s="54"/>
      <c r="T16" s="54"/>
      <c r="U16" s="54"/>
      <c r="V16" s="31" t="s">
        <v>187</v>
      </c>
      <c r="W16" s="51"/>
      <c r="X16" s="55"/>
      <c r="Y16" s="55"/>
      <c r="Z16" s="55"/>
      <c r="AA16" s="22"/>
      <c r="AB16" s="55"/>
      <c r="AC16" s="55"/>
      <c r="AD16" s="55"/>
      <c r="AE16" s="55"/>
      <c r="AF16" s="6">
        <v>8.68942E11</v>
      </c>
    </row>
    <row r="17">
      <c r="A17" s="15">
        <v>365.0</v>
      </c>
      <c r="B17" s="47" t="s">
        <v>265</v>
      </c>
      <c r="C17" s="17" t="s">
        <v>116</v>
      </c>
      <c r="D17" s="48">
        <v>2.025010000888E12</v>
      </c>
      <c r="E17" s="49">
        <v>1.2242524719E10</v>
      </c>
      <c r="F17" s="50" t="s">
        <v>548</v>
      </c>
      <c r="G17" s="50" t="s">
        <v>384</v>
      </c>
      <c r="H17" s="50" t="s">
        <v>549</v>
      </c>
      <c r="I17" s="31" t="s">
        <v>164</v>
      </c>
      <c r="J17" s="31" t="s">
        <v>550</v>
      </c>
      <c r="K17" s="51"/>
      <c r="L17" s="52">
        <v>6.280774505E9</v>
      </c>
      <c r="M17" s="51"/>
      <c r="N17" s="7"/>
      <c r="O17" s="7"/>
      <c r="P17" s="7"/>
      <c r="Q17" s="31" t="s">
        <v>552</v>
      </c>
      <c r="R17" s="54"/>
      <c r="S17" s="54"/>
      <c r="T17" s="54"/>
      <c r="U17" s="54"/>
      <c r="V17" s="31" t="s">
        <v>140</v>
      </c>
      <c r="W17" s="51"/>
      <c r="X17" s="55"/>
      <c r="Y17" s="55"/>
      <c r="Z17" s="55"/>
      <c r="AA17" s="12"/>
      <c r="AB17" s="55"/>
      <c r="AC17" s="55"/>
      <c r="AD17" s="55"/>
      <c r="AE17" s="55"/>
      <c r="AF17" s="6">
        <v>8.34973E11</v>
      </c>
    </row>
    <row r="18">
      <c r="A18" s="15">
        <v>366.0</v>
      </c>
      <c r="B18" s="47" t="s">
        <v>265</v>
      </c>
      <c r="C18" s="17" t="s">
        <v>116</v>
      </c>
      <c r="D18" s="48">
        <v>2.025010000951E12</v>
      </c>
      <c r="E18" s="49">
        <v>1.224252472E10</v>
      </c>
      <c r="F18" s="50" t="s">
        <v>559</v>
      </c>
      <c r="G18" s="50" t="s">
        <v>560</v>
      </c>
      <c r="H18" s="50" t="s">
        <v>360</v>
      </c>
      <c r="I18" s="31" t="s">
        <v>126</v>
      </c>
      <c r="J18" s="31" t="s">
        <v>561</v>
      </c>
      <c r="K18" s="51"/>
      <c r="L18" s="52">
        <v>7.973765887E9</v>
      </c>
      <c r="M18" s="51"/>
      <c r="N18" s="7"/>
      <c r="O18" s="7"/>
      <c r="P18" s="7"/>
      <c r="Q18" s="31" t="s">
        <v>562</v>
      </c>
      <c r="R18" s="53"/>
      <c r="S18" s="54"/>
      <c r="T18" s="54"/>
      <c r="U18" s="54"/>
      <c r="V18" s="31" t="s">
        <v>187</v>
      </c>
      <c r="W18" s="51"/>
      <c r="X18" s="55"/>
      <c r="Y18" s="55"/>
      <c r="Z18" s="55"/>
      <c r="AA18" s="22"/>
      <c r="AB18" s="55"/>
      <c r="AC18" s="55"/>
      <c r="AD18" s="55"/>
      <c r="AE18" s="55"/>
      <c r="AF18" s="6">
        <v>6.75986E11</v>
      </c>
    </row>
    <row r="19">
      <c r="A19" s="15">
        <v>367.0</v>
      </c>
      <c r="B19" s="47" t="s">
        <v>265</v>
      </c>
      <c r="C19" s="17" t="s">
        <v>116</v>
      </c>
      <c r="D19" s="48">
        <v>2.025010003004E12</v>
      </c>
      <c r="E19" s="49">
        <v>1.2242524721E10</v>
      </c>
      <c r="F19" s="50" t="s">
        <v>571</v>
      </c>
      <c r="G19" s="50" t="s">
        <v>572</v>
      </c>
      <c r="H19" s="50" t="s">
        <v>573</v>
      </c>
      <c r="I19" s="31" t="s">
        <v>126</v>
      </c>
      <c r="J19" s="31" t="s">
        <v>574</v>
      </c>
      <c r="K19" s="51"/>
      <c r="L19" s="52">
        <v>7.657987212E9</v>
      </c>
      <c r="M19" s="51"/>
      <c r="N19" s="7"/>
      <c r="O19" s="7"/>
      <c r="P19" s="7"/>
      <c r="Q19" s="31" t="s">
        <v>576</v>
      </c>
      <c r="R19" s="53"/>
      <c r="S19" s="54"/>
      <c r="T19" s="54"/>
      <c r="U19" s="54"/>
      <c r="V19" s="31" t="s">
        <v>187</v>
      </c>
      <c r="W19" s="51"/>
      <c r="X19" s="55"/>
      <c r="Y19" s="55"/>
      <c r="Z19" s="55"/>
      <c r="AA19" s="22"/>
      <c r="AB19" s="55"/>
      <c r="AC19" s="55"/>
      <c r="AD19" s="55"/>
      <c r="AE19" s="55"/>
      <c r="AF19" s="6">
        <v>5.57251E11</v>
      </c>
    </row>
    <row r="20">
      <c r="A20" s="15">
        <v>368.0</v>
      </c>
      <c r="B20" s="47" t="s">
        <v>265</v>
      </c>
      <c r="C20" s="17" t="s">
        <v>116</v>
      </c>
      <c r="D20" s="48">
        <v>2.025010003283E12</v>
      </c>
      <c r="E20" s="49">
        <v>1.2242524722E10</v>
      </c>
      <c r="F20" s="50" t="s">
        <v>584</v>
      </c>
      <c r="G20" s="50" t="s">
        <v>585</v>
      </c>
      <c r="H20" s="50" t="s">
        <v>586</v>
      </c>
      <c r="I20" s="31" t="s">
        <v>164</v>
      </c>
      <c r="J20" s="31" t="s">
        <v>587</v>
      </c>
      <c r="K20" s="51"/>
      <c r="L20" s="52">
        <v>7.719502472E9</v>
      </c>
      <c r="M20" s="51"/>
      <c r="N20" s="7"/>
      <c r="O20" s="7"/>
      <c r="P20" s="7"/>
      <c r="Q20" s="31" t="s">
        <v>589</v>
      </c>
      <c r="R20" s="53"/>
      <c r="S20" s="53"/>
      <c r="T20" s="54"/>
      <c r="U20" s="54"/>
      <c r="V20" s="31" t="s">
        <v>187</v>
      </c>
      <c r="W20" s="51"/>
      <c r="X20" s="55"/>
      <c r="Y20" s="55"/>
      <c r="Z20" s="55"/>
      <c r="AA20" s="22"/>
      <c r="AB20" s="55"/>
      <c r="AC20" s="55"/>
      <c r="AD20" s="55"/>
      <c r="AE20" s="55"/>
      <c r="AF20" s="6">
        <v>7.25674E11</v>
      </c>
    </row>
    <row r="21">
      <c r="A21" s="15">
        <v>369.0</v>
      </c>
      <c r="B21" s="47" t="s">
        <v>265</v>
      </c>
      <c r="C21" s="17" t="s">
        <v>116</v>
      </c>
      <c r="D21" s="48">
        <v>2.02501000403E12</v>
      </c>
      <c r="E21" s="49">
        <v>1.2242524723E10</v>
      </c>
      <c r="F21" s="50" t="s">
        <v>596</v>
      </c>
      <c r="G21" s="50" t="s">
        <v>597</v>
      </c>
      <c r="H21" s="50" t="s">
        <v>598</v>
      </c>
      <c r="I21" s="31" t="s">
        <v>126</v>
      </c>
      <c r="J21" s="31" t="s">
        <v>599</v>
      </c>
      <c r="K21" s="51"/>
      <c r="L21" s="52">
        <v>9.478545489E9</v>
      </c>
      <c r="M21" s="51"/>
      <c r="N21" s="7"/>
      <c r="O21" s="7"/>
      <c r="P21" s="7"/>
      <c r="Q21" s="31" t="s">
        <v>601</v>
      </c>
      <c r="R21" s="53"/>
      <c r="S21" s="54"/>
      <c r="T21" s="54"/>
      <c r="U21" s="54"/>
      <c r="V21" s="31" t="s">
        <v>187</v>
      </c>
      <c r="W21" s="51"/>
      <c r="X21" s="55"/>
      <c r="Y21" s="55"/>
      <c r="Z21" s="55"/>
      <c r="AA21" s="22"/>
      <c r="AB21" s="55"/>
      <c r="AC21" s="55"/>
      <c r="AD21" s="55"/>
      <c r="AE21" s="55"/>
      <c r="AF21" s="6">
        <v>6.22875E11</v>
      </c>
    </row>
    <row r="22">
      <c r="A22" s="15">
        <v>370.0</v>
      </c>
      <c r="B22" s="47" t="s">
        <v>265</v>
      </c>
      <c r="C22" s="17" t="s">
        <v>116</v>
      </c>
      <c r="D22" s="48">
        <v>2.025010004097E12</v>
      </c>
      <c r="E22" s="49">
        <v>1.2242524724E10</v>
      </c>
      <c r="F22" s="50" t="s">
        <v>610</v>
      </c>
      <c r="G22" s="50" t="s">
        <v>611</v>
      </c>
      <c r="H22" s="50" t="s">
        <v>612</v>
      </c>
      <c r="I22" s="31" t="s">
        <v>126</v>
      </c>
      <c r="J22" s="31" t="s">
        <v>613</v>
      </c>
      <c r="K22" s="51"/>
      <c r="L22" s="52">
        <v>8.437464665E9</v>
      </c>
      <c r="M22" s="51"/>
      <c r="N22" s="7"/>
      <c r="O22" s="7"/>
      <c r="P22" s="7"/>
      <c r="Q22" s="31" t="s">
        <v>614</v>
      </c>
      <c r="R22" s="53"/>
      <c r="S22" s="54"/>
      <c r="T22" s="54"/>
      <c r="U22" s="54"/>
      <c r="V22" s="31" t="s">
        <v>187</v>
      </c>
      <c r="W22" s="51"/>
      <c r="X22" s="55"/>
      <c r="Y22" s="55"/>
      <c r="Z22" s="55"/>
      <c r="AA22" s="22"/>
      <c r="AB22" s="55"/>
      <c r="AC22" s="55"/>
      <c r="AD22" s="55"/>
      <c r="AE22" s="55"/>
      <c r="AF22" s="6">
        <v>8.81425E11</v>
      </c>
    </row>
    <row r="23">
      <c r="A23" s="15">
        <v>371.0</v>
      </c>
      <c r="B23" s="47" t="s">
        <v>265</v>
      </c>
      <c r="C23" s="17" t="s">
        <v>116</v>
      </c>
      <c r="D23" s="48">
        <v>2.025010004189E12</v>
      </c>
      <c r="E23" s="49">
        <v>1.2242524725E10</v>
      </c>
      <c r="F23" s="50" t="s">
        <v>622</v>
      </c>
      <c r="G23" s="50" t="s">
        <v>359</v>
      </c>
      <c r="H23" s="50" t="s">
        <v>623</v>
      </c>
      <c r="I23" s="31" t="s">
        <v>126</v>
      </c>
      <c r="J23" s="31" t="s">
        <v>624</v>
      </c>
      <c r="K23" s="51"/>
      <c r="L23" s="52">
        <v>9.85503271E9</v>
      </c>
      <c r="M23" s="51"/>
      <c r="N23" s="7"/>
      <c r="O23" s="7"/>
      <c r="P23" s="7"/>
      <c r="Q23" s="31" t="s">
        <v>626</v>
      </c>
      <c r="R23" s="53"/>
      <c r="S23" s="54"/>
      <c r="T23" s="54"/>
      <c r="U23" s="54"/>
      <c r="V23" s="31" t="s">
        <v>187</v>
      </c>
      <c r="W23" s="51"/>
      <c r="X23" s="55"/>
      <c r="Y23" s="55"/>
      <c r="Z23" s="55"/>
      <c r="AA23" s="22"/>
      <c r="AB23" s="55"/>
      <c r="AC23" s="55"/>
      <c r="AD23" s="55"/>
      <c r="AE23" s="55"/>
      <c r="AF23" s="6">
        <v>3.27456E11</v>
      </c>
    </row>
    <row r="24">
      <c r="A24" s="15">
        <v>372.0</v>
      </c>
      <c r="B24" s="47" t="s">
        <v>265</v>
      </c>
      <c r="C24" s="17" t="s">
        <v>116</v>
      </c>
      <c r="D24" s="48">
        <v>2.025010005556E12</v>
      </c>
      <c r="E24" s="49">
        <v>1.2242524726E10</v>
      </c>
      <c r="F24" s="50" t="s">
        <v>633</v>
      </c>
      <c r="G24" s="50" t="s">
        <v>634</v>
      </c>
      <c r="H24" s="50" t="s">
        <v>635</v>
      </c>
      <c r="I24" s="31" t="s">
        <v>126</v>
      </c>
      <c r="J24" s="31" t="s">
        <v>636</v>
      </c>
      <c r="K24" s="51"/>
      <c r="L24" s="52">
        <v>9.465675804E9</v>
      </c>
      <c r="M24" s="51"/>
      <c r="N24" s="7"/>
      <c r="O24" s="7"/>
      <c r="P24" s="7"/>
      <c r="Q24" s="31" t="s">
        <v>637</v>
      </c>
      <c r="R24" s="53"/>
      <c r="S24" s="53"/>
      <c r="T24" s="54"/>
      <c r="U24" s="54"/>
      <c r="V24" s="31" t="s">
        <v>187</v>
      </c>
      <c r="W24" s="51"/>
      <c r="X24" s="55"/>
      <c r="Y24" s="55"/>
      <c r="Z24" s="55"/>
      <c r="AA24" s="22"/>
      <c r="AB24" s="55"/>
      <c r="AC24" s="55"/>
      <c r="AD24" s="55"/>
      <c r="AE24" s="55"/>
      <c r="AF24" s="6">
        <v>3.49749E11</v>
      </c>
    </row>
    <row r="25">
      <c r="A25" s="15">
        <v>373.0</v>
      </c>
      <c r="B25" s="47" t="s">
        <v>265</v>
      </c>
      <c r="C25" s="17" t="s">
        <v>116</v>
      </c>
      <c r="D25" s="48">
        <v>2.025010006515E12</v>
      </c>
      <c r="E25" s="49">
        <v>1.2242524727E10</v>
      </c>
      <c r="F25" s="50" t="s">
        <v>645</v>
      </c>
      <c r="G25" s="50" t="s">
        <v>647</v>
      </c>
      <c r="H25" s="50" t="s">
        <v>598</v>
      </c>
      <c r="I25" s="31" t="s">
        <v>126</v>
      </c>
      <c r="J25" s="31" t="s">
        <v>649</v>
      </c>
      <c r="K25" s="51"/>
      <c r="L25" s="52">
        <v>7.009362363E9</v>
      </c>
      <c r="M25" s="51"/>
      <c r="N25" s="7"/>
      <c r="O25" s="7"/>
      <c r="P25" s="7"/>
      <c r="Q25" s="31" t="s">
        <v>650</v>
      </c>
      <c r="R25" s="53"/>
      <c r="S25" s="54"/>
      <c r="T25" s="54"/>
      <c r="U25" s="54"/>
      <c r="V25" s="31" t="s">
        <v>187</v>
      </c>
      <c r="W25" s="51"/>
      <c r="X25" s="55"/>
      <c r="Y25" s="55"/>
      <c r="Z25" s="55"/>
      <c r="AA25" s="57"/>
      <c r="AB25" s="55"/>
      <c r="AC25" s="55"/>
      <c r="AD25" s="55"/>
      <c r="AE25" s="55"/>
      <c r="AF25" s="6">
        <v>2.55177E11</v>
      </c>
    </row>
    <row r="26">
      <c r="A26" s="15">
        <v>374.0</v>
      </c>
      <c r="B26" s="47" t="s">
        <v>265</v>
      </c>
      <c r="C26" s="17" t="s">
        <v>116</v>
      </c>
      <c r="D26" s="48">
        <v>2.025010007106E12</v>
      </c>
      <c r="E26" s="49">
        <v>1.2242524728E10</v>
      </c>
      <c r="F26" s="50" t="s">
        <v>659</v>
      </c>
      <c r="G26" s="50" t="s">
        <v>461</v>
      </c>
      <c r="H26" s="50" t="s">
        <v>660</v>
      </c>
      <c r="I26" s="31" t="s">
        <v>126</v>
      </c>
      <c r="J26" s="31" t="s">
        <v>663</v>
      </c>
      <c r="K26" s="51"/>
      <c r="L26" s="52">
        <v>6.280186919E9</v>
      </c>
      <c r="M26" s="51"/>
      <c r="N26" s="7"/>
      <c r="O26" s="7"/>
      <c r="P26" s="7"/>
      <c r="Q26" s="31" t="s">
        <v>665</v>
      </c>
      <c r="R26" s="53"/>
      <c r="S26" s="54"/>
      <c r="T26" s="54"/>
      <c r="U26" s="54"/>
      <c r="V26" s="31" t="s">
        <v>187</v>
      </c>
      <c r="W26" s="51"/>
      <c r="X26" s="55"/>
      <c r="Y26" s="55"/>
      <c r="Z26" s="55"/>
      <c r="AA26" s="60"/>
      <c r="AB26" s="55"/>
      <c r="AC26" s="55"/>
      <c r="AD26" s="55"/>
      <c r="AE26" s="55"/>
      <c r="AF26" s="6">
        <v>2.55177E11</v>
      </c>
    </row>
    <row r="27">
      <c r="A27" s="15">
        <v>375.0</v>
      </c>
      <c r="B27" s="47" t="s">
        <v>265</v>
      </c>
      <c r="C27" s="17" t="s">
        <v>116</v>
      </c>
      <c r="D27" s="48">
        <v>2.025010007106E12</v>
      </c>
      <c r="E27" s="49">
        <v>1.2242524728E10</v>
      </c>
      <c r="F27" s="50" t="s">
        <v>659</v>
      </c>
      <c r="G27" s="50" t="s">
        <v>461</v>
      </c>
      <c r="H27" s="50" t="s">
        <v>660</v>
      </c>
      <c r="I27" s="31" t="s">
        <v>126</v>
      </c>
      <c r="J27" s="31" t="s">
        <v>663</v>
      </c>
      <c r="K27" s="51"/>
      <c r="L27" s="52">
        <v>6.280186919E9</v>
      </c>
      <c r="M27" s="51"/>
      <c r="N27" s="7"/>
      <c r="O27" s="7"/>
      <c r="P27" s="7"/>
      <c r="Q27" s="31" t="s">
        <v>665</v>
      </c>
      <c r="R27" s="53"/>
      <c r="S27" s="54"/>
      <c r="T27" s="54"/>
      <c r="U27" s="54"/>
      <c r="V27" s="31" t="s">
        <v>187</v>
      </c>
      <c r="W27" s="51"/>
      <c r="X27" s="55"/>
      <c r="Y27" s="55"/>
      <c r="Z27" s="55"/>
      <c r="AA27" s="22"/>
      <c r="AB27" s="55"/>
      <c r="AC27" s="55"/>
      <c r="AD27" s="55"/>
      <c r="AE27" s="55"/>
      <c r="AF27" s="6">
        <v>6.67356E11</v>
      </c>
    </row>
    <row r="28">
      <c r="A28" s="15">
        <v>376.0</v>
      </c>
      <c r="B28" s="47" t="s">
        <v>265</v>
      </c>
      <c r="C28" s="17" t="s">
        <v>116</v>
      </c>
      <c r="D28" s="48">
        <v>2.025010007561E12</v>
      </c>
      <c r="E28" s="49">
        <v>1.2242524729E10</v>
      </c>
      <c r="F28" s="50" t="s">
        <v>681</v>
      </c>
      <c r="G28" s="50" t="s">
        <v>683</v>
      </c>
      <c r="H28" s="50" t="s">
        <v>685</v>
      </c>
      <c r="I28" s="31" t="s">
        <v>126</v>
      </c>
      <c r="J28" s="31" t="s">
        <v>688</v>
      </c>
      <c r="K28" s="51"/>
      <c r="L28" s="52">
        <v>6.239226525E9</v>
      </c>
      <c r="M28" s="51"/>
      <c r="N28" s="7"/>
      <c r="O28" s="7"/>
      <c r="P28" s="7"/>
      <c r="Q28" s="31" t="s">
        <v>692</v>
      </c>
      <c r="R28" s="53"/>
      <c r="S28" s="54"/>
      <c r="T28" s="54"/>
      <c r="U28" s="54"/>
      <c r="V28" s="31" t="s">
        <v>187</v>
      </c>
      <c r="W28" s="51"/>
      <c r="X28" s="55"/>
      <c r="Y28" s="55"/>
      <c r="Z28" s="55"/>
      <c r="AA28" s="22"/>
      <c r="AB28" s="55"/>
      <c r="AC28" s="55"/>
      <c r="AD28" s="55"/>
      <c r="AE28" s="55"/>
      <c r="AF28" s="6">
        <v>2.52401E11</v>
      </c>
    </row>
    <row r="29">
      <c r="A29" s="15">
        <v>377.0</v>
      </c>
      <c r="B29" s="47" t="s">
        <v>265</v>
      </c>
      <c r="C29" s="17" t="s">
        <v>116</v>
      </c>
      <c r="D29" s="48">
        <v>2.025010008961E12</v>
      </c>
      <c r="E29" s="49">
        <v>1.224252473E10</v>
      </c>
      <c r="F29" s="50" t="s">
        <v>696</v>
      </c>
      <c r="G29" s="50" t="s">
        <v>698</v>
      </c>
      <c r="H29" s="50" t="s">
        <v>699</v>
      </c>
      <c r="I29" s="31" t="s">
        <v>164</v>
      </c>
      <c r="J29" s="31" t="s">
        <v>701</v>
      </c>
      <c r="K29" s="51"/>
      <c r="L29" s="52">
        <v>7.340871969E9</v>
      </c>
      <c r="M29" s="51"/>
      <c r="N29" s="7"/>
      <c r="O29" s="7"/>
      <c r="P29" s="7"/>
      <c r="Q29" s="31" t="s">
        <v>702</v>
      </c>
      <c r="R29" s="53"/>
      <c r="S29" s="53"/>
      <c r="T29" s="54"/>
      <c r="U29" s="54"/>
      <c r="V29" s="31" t="s">
        <v>140</v>
      </c>
      <c r="W29" s="51"/>
      <c r="X29" s="55"/>
      <c r="Y29" s="55"/>
      <c r="Z29" s="55"/>
      <c r="AA29" s="6"/>
      <c r="AB29" s="55"/>
      <c r="AC29" s="55"/>
      <c r="AD29" s="55"/>
      <c r="AE29" s="55"/>
      <c r="AF29" s="6">
        <v>6.55199E11</v>
      </c>
    </row>
    <row r="30">
      <c r="A30" s="15">
        <v>378.0</v>
      </c>
      <c r="B30" s="47" t="s">
        <v>265</v>
      </c>
      <c r="C30" s="17" t="s">
        <v>116</v>
      </c>
      <c r="D30" s="48">
        <v>2.025010010649E12</v>
      </c>
      <c r="E30" s="49">
        <v>1.2242524731E10</v>
      </c>
      <c r="F30" s="50" t="s">
        <v>706</v>
      </c>
      <c r="G30" s="50" t="s">
        <v>707</v>
      </c>
      <c r="H30" s="50" t="s">
        <v>708</v>
      </c>
      <c r="I30" s="31" t="s">
        <v>164</v>
      </c>
      <c r="J30" s="31" t="s">
        <v>709</v>
      </c>
      <c r="K30" s="51"/>
      <c r="L30" s="52">
        <v>7.973759373E9</v>
      </c>
      <c r="M30" s="51"/>
      <c r="N30" s="7"/>
      <c r="O30" s="7"/>
      <c r="P30" s="7"/>
      <c r="Q30" s="31" t="s">
        <v>712</v>
      </c>
      <c r="R30" s="53"/>
      <c r="S30" s="54"/>
      <c r="T30" s="54"/>
      <c r="U30" s="54"/>
      <c r="V30" s="31" t="s">
        <v>140</v>
      </c>
      <c r="W30" s="51"/>
      <c r="X30" s="55"/>
      <c r="Y30" s="55"/>
      <c r="Z30" s="55"/>
      <c r="AA30" s="18"/>
      <c r="AB30" s="55"/>
      <c r="AC30" s="55"/>
      <c r="AD30" s="55"/>
      <c r="AE30" s="55"/>
      <c r="AF30" s="6">
        <v>2.60184E11</v>
      </c>
    </row>
    <row r="31">
      <c r="A31" s="15">
        <v>379.0</v>
      </c>
      <c r="B31" s="47" t="s">
        <v>265</v>
      </c>
      <c r="C31" s="17" t="s">
        <v>116</v>
      </c>
      <c r="D31" s="48">
        <v>2.025010012489E12</v>
      </c>
      <c r="E31" s="49">
        <v>1.2242524732E10</v>
      </c>
      <c r="F31" s="50" t="s">
        <v>719</v>
      </c>
      <c r="G31" s="50" t="s">
        <v>720</v>
      </c>
      <c r="H31" s="50" t="s">
        <v>549</v>
      </c>
      <c r="I31" s="31" t="s">
        <v>126</v>
      </c>
      <c r="J31" s="31" t="s">
        <v>721</v>
      </c>
      <c r="K31" s="51"/>
      <c r="L31" s="52">
        <v>9.041956291E9</v>
      </c>
      <c r="M31" s="51"/>
      <c r="N31" s="7"/>
      <c r="O31" s="7"/>
      <c r="P31" s="7"/>
      <c r="Q31" s="31" t="s">
        <v>723</v>
      </c>
      <c r="R31" s="53"/>
      <c r="S31" s="53"/>
      <c r="T31" s="54"/>
      <c r="U31" s="54"/>
      <c r="V31" s="31" t="s">
        <v>187</v>
      </c>
      <c r="W31" s="51"/>
      <c r="X31" s="55"/>
      <c r="Y31" s="55"/>
      <c r="Z31" s="55"/>
      <c r="AA31" s="61"/>
      <c r="AB31" s="55"/>
      <c r="AC31" s="55"/>
      <c r="AD31" s="55"/>
      <c r="AE31" s="55"/>
      <c r="AF31" s="6">
        <v>9.57756E11</v>
      </c>
    </row>
    <row r="32">
      <c r="A32" s="15">
        <v>380.0</v>
      </c>
      <c r="B32" s="47" t="s">
        <v>265</v>
      </c>
      <c r="C32" s="17" t="s">
        <v>116</v>
      </c>
      <c r="D32" s="48">
        <v>2.025010024902E12</v>
      </c>
      <c r="E32" s="49">
        <v>1.2242524733E10</v>
      </c>
      <c r="F32" s="50" t="s">
        <v>730</v>
      </c>
      <c r="G32" s="50" t="s">
        <v>731</v>
      </c>
      <c r="H32" s="50" t="s">
        <v>732</v>
      </c>
      <c r="I32" s="31" t="s">
        <v>126</v>
      </c>
      <c r="J32" s="31" t="s">
        <v>733</v>
      </c>
      <c r="K32" s="51"/>
      <c r="L32" s="52">
        <v>9.872188369E9</v>
      </c>
      <c r="M32" s="51"/>
      <c r="N32" s="7"/>
      <c r="O32" s="7"/>
      <c r="P32" s="7"/>
      <c r="Q32" s="31" t="s">
        <v>734</v>
      </c>
      <c r="R32" s="54"/>
      <c r="S32" s="54"/>
      <c r="T32" s="54"/>
      <c r="U32" s="54"/>
      <c r="V32" s="31" t="s">
        <v>187</v>
      </c>
      <c r="W32" s="51"/>
      <c r="X32" s="55"/>
      <c r="Y32" s="55"/>
      <c r="Z32" s="55"/>
      <c r="AA32" s="12"/>
      <c r="AB32" s="55"/>
      <c r="AC32" s="55"/>
      <c r="AD32" s="55"/>
      <c r="AE32" s="55"/>
      <c r="AF32" s="6">
        <v>5.41669E11</v>
      </c>
    </row>
    <row r="33">
      <c r="A33" s="15">
        <v>381.0</v>
      </c>
      <c r="B33" s="47" t="s">
        <v>265</v>
      </c>
      <c r="C33" s="17" t="s">
        <v>116</v>
      </c>
      <c r="D33" s="48">
        <v>2.025010026691E12</v>
      </c>
      <c r="E33" s="49">
        <v>1.2242524734E10</v>
      </c>
      <c r="F33" s="50" t="s">
        <v>740</v>
      </c>
      <c r="G33" s="50" t="s">
        <v>741</v>
      </c>
      <c r="H33" s="50" t="s">
        <v>742</v>
      </c>
      <c r="I33" s="31" t="s">
        <v>126</v>
      </c>
      <c r="J33" s="31" t="s">
        <v>744</v>
      </c>
      <c r="K33" s="51"/>
      <c r="L33" s="52">
        <v>7.719751193E9</v>
      </c>
      <c r="M33" s="51"/>
      <c r="N33" s="7"/>
      <c r="O33" s="7"/>
      <c r="P33" s="7"/>
      <c r="Q33" s="31" t="s">
        <v>749</v>
      </c>
      <c r="R33" s="54"/>
      <c r="S33" s="54"/>
      <c r="T33" s="54"/>
      <c r="U33" s="54"/>
      <c r="V33" s="31" t="s">
        <v>187</v>
      </c>
      <c r="W33" s="51"/>
      <c r="X33" s="55"/>
      <c r="Y33" s="55"/>
      <c r="Z33" s="55"/>
      <c r="AA33" s="22"/>
      <c r="AB33" s="55"/>
      <c r="AC33" s="55"/>
      <c r="AD33" s="55"/>
      <c r="AE33" s="55"/>
      <c r="AF33" s="6">
        <v>9.6439E11</v>
      </c>
    </row>
    <row r="34">
      <c r="A34" s="15">
        <v>382.0</v>
      </c>
      <c r="B34" s="47" t="s">
        <v>265</v>
      </c>
      <c r="C34" s="17" t="s">
        <v>116</v>
      </c>
      <c r="D34" s="48">
        <v>2.025010042959E12</v>
      </c>
      <c r="E34" s="49">
        <v>1.2242524735E10</v>
      </c>
      <c r="F34" s="50" t="s">
        <v>755</v>
      </c>
      <c r="G34" s="50" t="s">
        <v>756</v>
      </c>
      <c r="H34" s="50" t="s">
        <v>757</v>
      </c>
      <c r="I34" s="31" t="s">
        <v>126</v>
      </c>
      <c r="J34" s="31" t="s">
        <v>758</v>
      </c>
      <c r="K34" s="51"/>
      <c r="L34" s="52">
        <v>8.288827105E9</v>
      </c>
      <c r="M34" s="51"/>
      <c r="N34" s="7"/>
      <c r="O34" s="7"/>
      <c r="P34" s="7"/>
      <c r="Q34" s="31" t="s">
        <v>761</v>
      </c>
      <c r="R34" s="53"/>
      <c r="S34" s="53"/>
      <c r="T34" s="53"/>
      <c r="U34" s="54"/>
      <c r="V34" s="31" t="s">
        <v>187</v>
      </c>
      <c r="W34" s="51"/>
      <c r="X34" s="55"/>
      <c r="Y34" s="55"/>
      <c r="Z34" s="55"/>
      <c r="AA34" s="22"/>
      <c r="AB34" s="55"/>
      <c r="AC34" s="55"/>
      <c r="AD34" s="55"/>
      <c r="AE34" s="55"/>
      <c r="AF34" s="6">
        <v>4.05926E11</v>
      </c>
    </row>
    <row r="35">
      <c r="A35" s="15">
        <v>383.0</v>
      </c>
      <c r="B35" s="47" t="s">
        <v>265</v>
      </c>
      <c r="C35" s="17" t="s">
        <v>116</v>
      </c>
      <c r="D35" s="48">
        <v>2.025010043006E12</v>
      </c>
      <c r="E35" s="49">
        <v>1.2242524736E10</v>
      </c>
      <c r="F35" s="50" t="s">
        <v>765</v>
      </c>
      <c r="G35" s="50" t="s">
        <v>299</v>
      </c>
      <c r="H35" s="50" t="s">
        <v>549</v>
      </c>
      <c r="I35" s="31" t="s">
        <v>126</v>
      </c>
      <c r="J35" s="31" t="s">
        <v>766</v>
      </c>
      <c r="K35" s="51"/>
      <c r="L35" s="52">
        <v>8.133065529E9</v>
      </c>
      <c r="M35" s="51"/>
      <c r="N35" s="7"/>
      <c r="O35" s="7"/>
      <c r="P35" s="7"/>
      <c r="Q35" s="31" t="s">
        <v>769</v>
      </c>
      <c r="R35" s="53"/>
      <c r="S35" s="54"/>
      <c r="T35" s="54"/>
      <c r="U35" s="54"/>
      <c r="V35" s="31" t="s">
        <v>187</v>
      </c>
      <c r="W35" s="51"/>
      <c r="X35" s="55"/>
      <c r="Y35" s="55"/>
      <c r="Z35" s="55"/>
      <c r="AA35" s="22"/>
      <c r="AB35" s="55"/>
      <c r="AC35" s="55"/>
      <c r="AD35" s="55"/>
      <c r="AE35" s="55"/>
      <c r="AF35" s="6">
        <v>7.50279E11</v>
      </c>
    </row>
    <row r="36">
      <c r="A36" s="15">
        <v>384.0</v>
      </c>
      <c r="B36" s="47" t="s">
        <v>265</v>
      </c>
      <c r="C36" s="17" t="s">
        <v>116</v>
      </c>
      <c r="D36" s="48">
        <v>2.025010043019E12</v>
      </c>
      <c r="E36" s="49">
        <v>1.2242524737E10</v>
      </c>
      <c r="F36" s="50" t="s">
        <v>773</v>
      </c>
      <c r="G36" s="50" t="s">
        <v>775</v>
      </c>
      <c r="H36" s="50" t="s">
        <v>776</v>
      </c>
      <c r="I36" s="31" t="s">
        <v>126</v>
      </c>
      <c r="J36" s="31" t="s">
        <v>779</v>
      </c>
      <c r="K36" s="51"/>
      <c r="L36" s="52">
        <v>7.009236574E9</v>
      </c>
      <c r="M36" s="51"/>
      <c r="N36" s="7"/>
      <c r="O36" s="7"/>
      <c r="P36" s="7"/>
      <c r="Q36" s="31" t="s">
        <v>782</v>
      </c>
      <c r="R36" s="53"/>
      <c r="S36" s="54"/>
      <c r="T36" s="54"/>
      <c r="U36" s="54"/>
      <c r="V36" s="31" t="s">
        <v>187</v>
      </c>
      <c r="W36" s="51"/>
      <c r="X36" s="55"/>
      <c r="Y36" s="55"/>
      <c r="Z36" s="55"/>
      <c r="AA36" s="22"/>
      <c r="AB36" s="55"/>
      <c r="AC36" s="55"/>
      <c r="AD36" s="55"/>
      <c r="AE36" s="55"/>
      <c r="AF36" s="6">
        <v>4.15885E11</v>
      </c>
    </row>
    <row r="37">
      <c r="A37" s="15">
        <v>385.0</v>
      </c>
      <c r="B37" s="47" t="s">
        <v>265</v>
      </c>
      <c r="C37" s="17" t="s">
        <v>116</v>
      </c>
      <c r="D37" s="48">
        <v>2.025010043027E12</v>
      </c>
      <c r="E37" s="49">
        <v>1.2242524738E10</v>
      </c>
      <c r="F37" s="50" t="s">
        <v>788</v>
      </c>
      <c r="G37" s="50" t="s">
        <v>789</v>
      </c>
      <c r="H37" s="50" t="s">
        <v>791</v>
      </c>
      <c r="I37" s="31" t="s">
        <v>126</v>
      </c>
      <c r="J37" s="31" t="s">
        <v>792</v>
      </c>
      <c r="K37" s="51"/>
      <c r="L37" s="52">
        <v>9.914358569E9</v>
      </c>
      <c r="M37" s="51"/>
      <c r="N37" s="7"/>
      <c r="O37" s="7"/>
      <c r="P37" s="7"/>
      <c r="Q37" s="31" t="s">
        <v>794</v>
      </c>
      <c r="R37" s="54"/>
      <c r="S37" s="54"/>
      <c r="T37" s="54"/>
      <c r="U37" s="54"/>
      <c r="V37" s="31" t="s">
        <v>187</v>
      </c>
      <c r="W37" s="51"/>
      <c r="X37" s="55"/>
      <c r="Y37" s="55"/>
      <c r="Z37" s="55"/>
      <c r="AA37" s="22"/>
      <c r="AB37" s="55"/>
      <c r="AC37" s="55"/>
      <c r="AD37" s="55"/>
      <c r="AE37" s="55"/>
      <c r="AF37" s="6">
        <v>9.65038E11</v>
      </c>
    </row>
    <row r="38">
      <c r="A38" s="15">
        <v>386.0</v>
      </c>
      <c r="B38" s="47" t="s">
        <v>265</v>
      </c>
      <c r="C38" s="17" t="s">
        <v>116</v>
      </c>
      <c r="D38" s="48">
        <v>2.025010043035E12</v>
      </c>
      <c r="E38" s="49">
        <v>1.2242524739E10</v>
      </c>
      <c r="F38" s="50" t="s">
        <v>800</v>
      </c>
      <c r="G38" s="50" t="s">
        <v>801</v>
      </c>
      <c r="H38" s="50" t="s">
        <v>803</v>
      </c>
      <c r="I38" s="31" t="s">
        <v>126</v>
      </c>
      <c r="J38" s="31" t="s">
        <v>804</v>
      </c>
      <c r="K38" s="51"/>
      <c r="L38" s="52">
        <v>9.878030574E9</v>
      </c>
      <c r="M38" s="51"/>
      <c r="N38" s="7"/>
      <c r="O38" s="7"/>
      <c r="P38" s="7"/>
      <c r="Q38" s="31" t="s">
        <v>805</v>
      </c>
      <c r="R38" s="53"/>
      <c r="S38" s="54"/>
      <c r="T38" s="54"/>
      <c r="U38" s="54"/>
      <c r="V38" s="31" t="s">
        <v>187</v>
      </c>
      <c r="W38" s="51"/>
      <c r="X38" s="55"/>
      <c r="Y38" s="55"/>
      <c r="Z38" s="55"/>
      <c r="AA38" s="22"/>
      <c r="AB38" s="55"/>
      <c r="AC38" s="55"/>
      <c r="AD38" s="55"/>
      <c r="AE38" s="55"/>
      <c r="AF38" s="6">
        <v>5.83617E11</v>
      </c>
    </row>
    <row r="39">
      <c r="A39" s="15">
        <v>387.0</v>
      </c>
      <c r="B39" s="47" t="s">
        <v>265</v>
      </c>
      <c r="C39" s="17" t="s">
        <v>116</v>
      </c>
      <c r="D39" s="48">
        <v>2.025010043052E12</v>
      </c>
      <c r="E39" s="49">
        <v>1.224252474E10</v>
      </c>
      <c r="F39" s="50" t="s">
        <v>811</v>
      </c>
      <c r="G39" s="50" t="s">
        <v>812</v>
      </c>
      <c r="H39" s="50" t="s">
        <v>813</v>
      </c>
      <c r="I39" s="31" t="s">
        <v>126</v>
      </c>
      <c r="J39" s="31" t="s">
        <v>814</v>
      </c>
      <c r="K39" s="51"/>
      <c r="L39" s="52">
        <v>9.83586E9</v>
      </c>
      <c r="M39" s="51"/>
      <c r="N39" s="7"/>
      <c r="O39" s="7"/>
      <c r="P39" s="7"/>
      <c r="Q39" s="31" t="s">
        <v>817</v>
      </c>
      <c r="R39" s="54"/>
      <c r="S39" s="54"/>
      <c r="T39" s="54"/>
      <c r="U39" s="54"/>
      <c r="V39" s="31" t="s">
        <v>187</v>
      </c>
      <c r="W39" s="51"/>
      <c r="X39" s="55"/>
      <c r="Y39" s="55"/>
      <c r="Z39" s="55"/>
      <c r="AA39" s="22"/>
      <c r="AB39" s="55"/>
      <c r="AC39" s="55"/>
      <c r="AD39" s="55"/>
      <c r="AE39" s="55"/>
      <c r="AF39" s="6">
        <v>2.88599E11</v>
      </c>
    </row>
    <row r="40">
      <c r="A40" s="15">
        <v>388.0</v>
      </c>
      <c r="B40" s="47" t="s">
        <v>265</v>
      </c>
      <c r="C40" s="17" t="s">
        <v>116</v>
      </c>
      <c r="D40" s="48">
        <v>2.025010043054E12</v>
      </c>
      <c r="E40" s="49">
        <v>1.2242524741E10</v>
      </c>
      <c r="F40" s="50" t="s">
        <v>820</v>
      </c>
      <c r="G40" s="50" t="s">
        <v>822</v>
      </c>
      <c r="H40" s="50" t="s">
        <v>823</v>
      </c>
      <c r="I40" s="31" t="s">
        <v>126</v>
      </c>
      <c r="J40" s="31" t="s">
        <v>826</v>
      </c>
      <c r="K40" s="51"/>
      <c r="L40" s="52">
        <v>7.710458845E9</v>
      </c>
      <c r="M40" s="51"/>
      <c r="N40" s="7"/>
      <c r="O40" s="7"/>
      <c r="P40" s="7"/>
      <c r="Q40" s="31" t="s">
        <v>828</v>
      </c>
      <c r="R40" s="53"/>
      <c r="S40" s="53"/>
      <c r="T40" s="54"/>
      <c r="U40" s="54"/>
      <c r="V40" s="31" t="s">
        <v>187</v>
      </c>
      <c r="W40" s="51"/>
      <c r="X40" s="55"/>
      <c r="Y40" s="55"/>
      <c r="Z40" s="55"/>
      <c r="AA40" s="57"/>
      <c r="AB40" s="55"/>
      <c r="AC40" s="55"/>
      <c r="AD40" s="55"/>
      <c r="AE40" s="55"/>
      <c r="AF40" s="6">
        <v>2.16474E11</v>
      </c>
    </row>
    <row r="41">
      <c r="A41" s="15">
        <v>389.0</v>
      </c>
      <c r="B41" s="47" t="s">
        <v>265</v>
      </c>
      <c r="C41" s="17" t="s">
        <v>116</v>
      </c>
      <c r="D41" s="48">
        <v>2.025010043055E12</v>
      </c>
      <c r="E41" s="49">
        <v>1.2242524742E10</v>
      </c>
      <c r="F41" s="50" t="s">
        <v>831</v>
      </c>
      <c r="G41" s="50" t="s">
        <v>832</v>
      </c>
      <c r="H41" s="50" t="s">
        <v>833</v>
      </c>
      <c r="I41" s="31" t="s">
        <v>164</v>
      </c>
      <c r="J41" s="31" t="s">
        <v>835</v>
      </c>
      <c r="K41" s="51"/>
      <c r="L41" s="52">
        <v>9.872431403E9</v>
      </c>
      <c r="M41" s="51"/>
      <c r="N41" s="7"/>
      <c r="O41" s="7"/>
      <c r="P41" s="7"/>
      <c r="Q41" s="31" t="s">
        <v>840</v>
      </c>
      <c r="R41" s="53"/>
      <c r="S41" s="54"/>
      <c r="T41" s="54"/>
      <c r="U41" s="54"/>
      <c r="V41" s="31" t="s">
        <v>140</v>
      </c>
      <c r="W41" s="51"/>
      <c r="X41" s="55"/>
      <c r="Y41" s="55"/>
      <c r="Z41" s="55"/>
      <c r="AA41" s="60"/>
      <c r="AB41" s="55"/>
      <c r="AC41" s="55"/>
      <c r="AD41" s="55"/>
      <c r="AE41" s="55"/>
      <c r="AF41" s="6">
        <v>2.37885E11</v>
      </c>
    </row>
    <row r="42">
      <c r="A42" s="15">
        <v>390.0</v>
      </c>
      <c r="B42" s="47" t="s">
        <v>265</v>
      </c>
      <c r="C42" s="17" t="s">
        <v>116</v>
      </c>
      <c r="D42" s="48">
        <v>2.025010043056E12</v>
      </c>
      <c r="E42" s="49">
        <v>1.2242524743E10</v>
      </c>
      <c r="F42" s="50" t="s">
        <v>843</v>
      </c>
      <c r="G42" s="50" t="s">
        <v>844</v>
      </c>
      <c r="H42" s="50" t="s">
        <v>623</v>
      </c>
      <c r="I42" s="31" t="s">
        <v>126</v>
      </c>
      <c r="J42" s="31" t="s">
        <v>846</v>
      </c>
      <c r="K42" s="51"/>
      <c r="L42" s="52">
        <v>9.780187451E9</v>
      </c>
      <c r="M42" s="51"/>
      <c r="N42" s="7"/>
      <c r="O42" s="7"/>
      <c r="P42" s="7"/>
      <c r="Q42" s="31" t="s">
        <v>848</v>
      </c>
      <c r="R42" s="53"/>
      <c r="S42" s="54"/>
      <c r="T42" s="54"/>
      <c r="U42" s="54"/>
      <c r="V42" s="31" t="s">
        <v>187</v>
      </c>
      <c r="W42" s="51"/>
      <c r="X42" s="55"/>
      <c r="Y42" s="55"/>
      <c r="Z42" s="55"/>
      <c r="AA42" s="22"/>
      <c r="AB42" s="55"/>
      <c r="AC42" s="55"/>
      <c r="AD42" s="55"/>
      <c r="AE42" s="55"/>
      <c r="AF42" s="6">
        <v>8.07146E11</v>
      </c>
    </row>
    <row r="43">
      <c r="A43" s="15">
        <v>391.0</v>
      </c>
      <c r="B43" s="47" t="s">
        <v>265</v>
      </c>
      <c r="C43" s="17" t="s">
        <v>116</v>
      </c>
      <c r="D43" s="48">
        <v>2.025010043058E12</v>
      </c>
      <c r="E43" s="49">
        <v>1.2242524744E10</v>
      </c>
      <c r="F43" s="50" t="s">
        <v>857</v>
      </c>
      <c r="G43" s="50" t="s">
        <v>858</v>
      </c>
      <c r="H43" s="50" t="s">
        <v>859</v>
      </c>
      <c r="I43" s="31" t="s">
        <v>126</v>
      </c>
      <c r="J43" s="31" t="s">
        <v>860</v>
      </c>
      <c r="K43" s="51"/>
      <c r="L43" s="52">
        <v>9.59269955E9</v>
      </c>
      <c r="M43" s="51"/>
      <c r="N43" s="7"/>
      <c r="O43" s="7"/>
      <c r="P43" s="7"/>
      <c r="Q43" s="31" t="s">
        <v>862</v>
      </c>
      <c r="R43" s="53"/>
      <c r="S43" s="54"/>
      <c r="T43" s="54"/>
      <c r="U43" s="54"/>
      <c r="V43" s="31" t="s">
        <v>187</v>
      </c>
      <c r="W43" s="51"/>
      <c r="X43" s="55"/>
      <c r="Y43" s="55"/>
      <c r="Z43" s="55"/>
      <c r="AA43" s="12"/>
      <c r="AB43" s="55"/>
      <c r="AC43" s="55"/>
      <c r="AD43" s="55"/>
      <c r="AE43" s="55"/>
      <c r="AF43" s="6">
        <v>2.13309E11</v>
      </c>
    </row>
    <row r="44">
      <c r="A44" s="15">
        <v>392.0</v>
      </c>
      <c r="B44" s="47" t="s">
        <v>265</v>
      </c>
      <c r="C44" s="17" t="s">
        <v>116</v>
      </c>
      <c r="D44" s="48">
        <v>2.025010043103E12</v>
      </c>
      <c r="E44" s="49">
        <v>1.2242524745E10</v>
      </c>
      <c r="F44" s="50" t="s">
        <v>869</v>
      </c>
      <c r="G44" s="50" t="s">
        <v>870</v>
      </c>
      <c r="H44" s="50" t="s">
        <v>623</v>
      </c>
      <c r="I44" s="31" t="s">
        <v>126</v>
      </c>
      <c r="J44" s="31" t="s">
        <v>871</v>
      </c>
      <c r="K44" s="51"/>
      <c r="L44" s="52">
        <v>9.815724174E9</v>
      </c>
      <c r="M44" s="51"/>
      <c r="N44" s="7"/>
      <c r="O44" s="7"/>
      <c r="P44" s="7"/>
      <c r="Q44" s="31" t="s">
        <v>873</v>
      </c>
      <c r="R44" s="54"/>
      <c r="S44" s="54"/>
      <c r="T44" s="54"/>
      <c r="U44" s="54"/>
      <c r="V44" s="31" t="s">
        <v>187</v>
      </c>
      <c r="W44" s="51"/>
      <c r="X44" s="55"/>
      <c r="Y44" s="55"/>
      <c r="Z44" s="55"/>
      <c r="AA44" s="22"/>
      <c r="AB44" s="55"/>
      <c r="AC44" s="55"/>
      <c r="AD44" s="55"/>
      <c r="AE44" s="55"/>
      <c r="AF44" s="6">
        <v>4.76688E11</v>
      </c>
    </row>
    <row r="45">
      <c r="A45" s="15">
        <v>393.0</v>
      </c>
      <c r="B45" s="47" t="s">
        <v>265</v>
      </c>
      <c r="C45" s="17" t="s">
        <v>116</v>
      </c>
      <c r="D45" s="48">
        <v>2.025010043109E12</v>
      </c>
      <c r="E45" s="49">
        <v>1.2242524746E10</v>
      </c>
      <c r="F45" s="50" t="s">
        <v>879</v>
      </c>
      <c r="G45" s="50" t="s">
        <v>880</v>
      </c>
      <c r="H45" s="50" t="s">
        <v>881</v>
      </c>
      <c r="I45" s="31" t="s">
        <v>164</v>
      </c>
      <c r="J45" s="31" t="s">
        <v>882</v>
      </c>
      <c r="K45" s="51"/>
      <c r="L45" s="52">
        <v>8.699902143E9</v>
      </c>
      <c r="M45" s="51"/>
      <c r="N45" s="7"/>
      <c r="O45" s="7"/>
      <c r="P45" s="7"/>
      <c r="Q45" s="31" t="s">
        <v>883</v>
      </c>
      <c r="R45" s="53"/>
      <c r="S45" s="54"/>
      <c r="T45" s="54"/>
      <c r="U45" s="54"/>
      <c r="V45" s="31" t="s">
        <v>140</v>
      </c>
      <c r="W45" s="51"/>
      <c r="X45" s="55"/>
      <c r="Y45" s="55"/>
      <c r="Z45" s="55"/>
      <c r="AA45" s="22"/>
      <c r="AB45" s="55"/>
      <c r="AC45" s="55"/>
      <c r="AD45" s="55"/>
      <c r="AE45" s="55"/>
      <c r="AF45" s="6">
        <v>4.29028E11</v>
      </c>
    </row>
    <row r="46">
      <c r="A46" s="15">
        <v>394.0</v>
      </c>
      <c r="B46" s="47" t="s">
        <v>265</v>
      </c>
      <c r="C46" s="17" t="s">
        <v>116</v>
      </c>
      <c r="D46" s="48">
        <v>2.025010043115E12</v>
      </c>
      <c r="E46" s="49">
        <v>1.2242524747E10</v>
      </c>
      <c r="F46" s="50" t="s">
        <v>892</v>
      </c>
      <c r="G46" s="50" t="s">
        <v>893</v>
      </c>
      <c r="H46" s="50" t="s">
        <v>441</v>
      </c>
      <c r="I46" s="31" t="s">
        <v>126</v>
      </c>
      <c r="J46" s="31" t="s">
        <v>894</v>
      </c>
      <c r="K46" s="51"/>
      <c r="L46" s="52">
        <v>9.91528314E9</v>
      </c>
      <c r="M46" s="51"/>
      <c r="N46" s="7"/>
      <c r="O46" s="7"/>
      <c r="P46" s="7"/>
      <c r="Q46" s="31" t="s">
        <v>895</v>
      </c>
      <c r="R46" s="53"/>
      <c r="S46" s="53"/>
      <c r="T46" s="53"/>
      <c r="U46" s="53"/>
      <c r="V46" s="31" t="s">
        <v>187</v>
      </c>
      <c r="W46" s="51"/>
      <c r="X46" s="55"/>
      <c r="Y46" s="55"/>
      <c r="Z46" s="55"/>
      <c r="AA46" s="22"/>
      <c r="AB46" s="55"/>
      <c r="AC46" s="55"/>
      <c r="AD46" s="55"/>
      <c r="AE46" s="55"/>
      <c r="AF46" s="6">
        <v>7.493E11</v>
      </c>
    </row>
    <row r="47">
      <c r="A47" s="15">
        <v>395.0</v>
      </c>
      <c r="B47" s="47" t="s">
        <v>265</v>
      </c>
      <c r="C47" s="17" t="s">
        <v>116</v>
      </c>
      <c r="D47" s="48">
        <v>2.025010043125E12</v>
      </c>
      <c r="E47" s="49">
        <v>1.2242524748E10</v>
      </c>
      <c r="F47" s="50" t="s">
        <v>901</v>
      </c>
      <c r="G47" s="50" t="s">
        <v>902</v>
      </c>
      <c r="H47" s="50" t="s">
        <v>903</v>
      </c>
      <c r="I47" s="31" t="s">
        <v>126</v>
      </c>
      <c r="J47" s="31" t="s">
        <v>905</v>
      </c>
      <c r="K47" s="51"/>
      <c r="L47" s="52">
        <v>8.146730742E9</v>
      </c>
      <c r="M47" s="51"/>
      <c r="N47" s="7"/>
      <c r="O47" s="7"/>
      <c r="P47" s="7"/>
      <c r="Q47" s="31" t="s">
        <v>907</v>
      </c>
      <c r="R47" s="54"/>
      <c r="S47" s="54"/>
      <c r="T47" s="54"/>
      <c r="U47" s="54"/>
      <c r="V47" s="31" t="s">
        <v>187</v>
      </c>
      <c r="W47" s="51"/>
      <c r="X47" s="55"/>
      <c r="Y47" s="55"/>
      <c r="Z47" s="55"/>
      <c r="AA47" s="22"/>
      <c r="AB47" s="55"/>
      <c r="AC47" s="55"/>
      <c r="AD47" s="55"/>
      <c r="AE47" s="55"/>
      <c r="AF47" s="6">
        <v>3.92339E11</v>
      </c>
    </row>
    <row r="48">
      <c r="A48" s="15">
        <v>396.0</v>
      </c>
      <c r="B48" s="47" t="s">
        <v>265</v>
      </c>
      <c r="C48" s="17" t="s">
        <v>116</v>
      </c>
      <c r="D48" s="48">
        <v>2.025010043131E12</v>
      </c>
      <c r="E48" s="49">
        <v>1.2242524749E10</v>
      </c>
      <c r="F48" s="50" t="s">
        <v>286</v>
      </c>
      <c r="G48" s="50" t="s">
        <v>427</v>
      </c>
      <c r="H48" s="50" t="s">
        <v>913</v>
      </c>
      <c r="I48" s="31" t="s">
        <v>164</v>
      </c>
      <c r="J48" s="31" t="s">
        <v>914</v>
      </c>
      <c r="K48" s="51"/>
      <c r="L48" s="52">
        <v>9.056650642E9</v>
      </c>
      <c r="M48" s="51"/>
      <c r="N48" s="7"/>
      <c r="O48" s="7"/>
      <c r="P48" s="7"/>
      <c r="Q48" s="31" t="s">
        <v>917</v>
      </c>
      <c r="R48" s="54"/>
      <c r="S48" s="54"/>
      <c r="T48" s="54"/>
      <c r="U48" s="54"/>
      <c r="V48" s="31" t="s">
        <v>140</v>
      </c>
      <c r="W48" s="51"/>
      <c r="X48" s="55"/>
      <c r="Y48" s="55"/>
      <c r="Z48" s="55"/>
      <c r="AA48" s="22"/>
      <c r="AB48" s="55"/>
      <c r="AC48" s="55"/>
      <c r="AD48" s="55"/>
      <c r="AE48" s="55"/>
      <c r="AF48" s="6">
        <v>5.68016E11</v>
      </c>
    </row>
    <row r="49">
      <c r="A49" s="15">
        <v>397.0</v>
      </c>
      <c r="B49" s="47" t="s">
        <v>265</v>
      </c>
      <c r="C49" s="17" t="s">
        <v>116</v>
      </c>
      <c r="D49" s="48">
        <v>2.025010043191E12</v>
      </c>
      <c r="E49" s="49">
        <v>1.2242524751E10</v>
      </c>
      <c r="F49" s="50" t="s">
        <v>920</v>
      </c>
      <c r="G49" s="50" t="s">
        <v>603</v>
      </c>
      <c r="H49" s="50" t="s">
        <v>922</v>
      </c>
      <c r="I49" s="31" t="s">
        <v>126</v>
      </c>
      <c r="J49" s="31" t="s">
        <v>924</v>
      </c>
      <c r="K49" s="51"/>
      <c r="L49" s="52">
        <v>8.968426206E9</v>
      </c>
      <c r="M49" s="51"/>
      <c r="N49" s="7"/>
      <c r="O49" s="7"/>
      <c r="P49" s="7"/>
      <c r="Q49" s="31" t="s">
        <v>927</v>
      </c>
      <c r="R49" s="53"/>
      <c r="S49" s="54"/>
      <c r="T49" s="54"/>
      <c r="U49" s="54"/>
      <c r="V49" s="31" t="s">
        <v>187</v>
      </c>
      <c r="W49" s="51"/>
      <c r="X49" s="55"/>
      <c r="Y49" s="55"/>
      <c r="Z49" s="55"/>
      <c r="AA49" s="22"/>
      <c r="AB49" s="55"/>
      <c r="AC49" s="55"/>
      <c r="AD49" s="55"/>
      <c r="AE49" s="55"/>
      <c r="AF49" s="6">
        <v>8.23132E11</v>
      </c>
    </row>
    <row r="50">
      <c r="A50" s="15">
        <v>398.0</v>
      </c>
      <c r="B50" s="47" t="s">
        <v>265</v>
      </c>
      <c r="C50" s="17" t="s">
        <v>116</v>
      </c>
      <c r="D50" s="48">
        <v>2.025010043238E12</v>
      </c>
      <c r="E50" s="49">
        <v>1.2242524752E10</v>
      </c>
      <c r="F50" s="50" t="s">
        <v>931</v>
      </c>
      <c r="G50" s="50" t="s">
        <v>591</v>
      </c>
      <c r="H50" s="50" t="s">
        <v>933</v>
      </c>
      <c r="I50" s="31" t="s">
        <v>126</v>
      </c>
      <c r="J50" s="31" t="s">
        <v>935</v>
      </c>
      <c r="K50" s="51"/>
      <c r="L50" s="52">
        <v>8.283973533E9</v>
      </c>
      <c r="M50" s="51"/>
      <c r="N50" s="7"/>
      <c r="O50" s="7"/>
      <c r="P50" s="7"/>
      <c r="Q50" s="31" t="s">
        <v>937</v>
      </c>
      <c r="R50" s="53"/>
      <c r="S50" s="53"/>
      <c r="T50" s="53"/>
      <c r="U50" s="54"/>
      <c r="V50" s="31" t="s">
        <v>187</v>
      </c>
      <c r="W50" s="51"/>
      <c r="X50" s="55"/>
      <c r="Y50" s="55"/>
      <c r="Z50" s="55"/>
      <c r="AA50" s="22"/>
      <c r="AB50" s="55"/>
      <c r="AC50" s="55"/>
      <c r="AD50" s="55"/>
      <c r="AE50" s="55"/>
      <c r="AF50" s="6" t="s">
        <v>941</v>
      </c>
    </row>
    <row r="51">
      <c r="A51" s="15">
        <v>399.0</v>
      </c>
      <c r="B51" s="47" t="s">
        <v>265</v>
      </c>
      <c r="C51" s="17" t="s">
        <v>116</v>
      </c>
      <c r="D51" s="48">
        <v>2.02501004325E12</v>
      </c>
      <c r="E51" s="49">
        <v>1.2242524753E10</v>
      </c>
      <c r="F51" s="50" t="s">
        <v>943</v>
      </c>
      <c r="G51" s="50" t="s">
        <v>944</v>
      </c>
      <c r="H51" s="50" t="s">
        <v>945</v>
      </c>
      <c r="I51" s="31" t="s">
        <v>126</v>
      </c>
      <c r="J51" s="31" t="s">
        <v>946</v>
      </c>
      <c r="K51" s="51"/>
      <c r="L51" s="52">
        <v>9.878330999E9</v>
      </c>
      <c r="M51" s="51"/>
      <c r="N51" s="7"/>
      <c r="O51" s="7"/>
      <c r="P51" s="7"/>
      <c r="Q51" s="31" t="s">
        <v>951</v>
      </c>
      <c r="R51" s="53"/>
      <c r="S51" s="54"/>
      <c r="T51" s="54"/>
      <c r="U51" s="54"/>
      <c r="V51" s="31" t="s">
        <v>187</v>
      </c>
      <c r="W51" s="51"/>
      <c r="X51" s="55"/>
      <c r="Y51" s="55"/>
      <c r="Z51" s="55"/>
      <c r="AA51" s="57"/>
      <c r="AB51" s="55"/>
      <c r="AC51" s="55"/>
      <c r="AD51" s="55"/>
      <c r="AE51" s="55"/>
      <c r="AF51" s="6">
        <v>9.24544E11</v>
      </c>
    </row>
    <row r="52">
      <c r="A52" s="15">
        <v>400.0</v>
      </c>
      <c r="B52" s="47" t="s">
        <v>265</v>
      </c>
      <c r="C52" s="17" t="s">
        <v>116</v>
      </c>
      <c r="D52" s="48">
        <v>2.025010043282E12</v>
      </c>
      <c r="E52" s="49">
        <v>1.2242524754E10</v>
      </c>
      <c r="F52" s="50" t="s">
        <v>954</v>
      </c>
      <c r="G52" s="50" t="s">
        <v>910</v>
      </c>
      <c r="H52" s="50" t="s">
        <v>956</v>
      </c>
      <c r="I52" s="31" t="s">
        <v>126</v>
      </c>
      <c r="J52" s="31" t="s">
        <v>957</v>
      </c>
      <c r="K52" s="51"/>
      <c r="L52" s="52">
        <v>8.264836062E9</v>
      </c>
      <c r="M52" s="51"/>
      <c r="N52" s="7"/>
      <c r="O52" s="7"/>
      <c r="P52" s="7"/>
      <c r="Q52" s="31" t="s">
        <v>960</v>
      </c>
      <c r="R52" s="54"/>
      <c r="S52" s="54"/>
      <c r="T52" s="54"/>
      <c r="U52" s="54"/>
      <c r="V52" s="31" t="s">
        <v>187</v>
      </c>
      <c r="W52" s="51"/>
      <c r="X52" s="55"/>
      <c r="Y52" s="55"/>
      <c r="Z52" s="55"/>
      <c r="AA52" s="60"/>
      <c r="AB52" s="55"/>
      <c r="AC52" s="55"/>
      <c r="AD52" s="55"/>
      <c r="AE52" s="55"/>
      <c r="AF52" s="6">
        <v>5.5929E11</v>
      </c>
    </row>
    <row r="53">
      <c r="A53" s="15">
        <v>401.0</v>
      </c>
      <c r="B53" s="47" t="s">
        <v>265</v>
      </c>
      <c r="C53" s="17" t="s">
        <v>116</v>
      </c>
      <c r="D53" s="48">
        <v>2.025010043294E12</v>
      </c>
      <c r="E53" s="49">
        <v>1.2242524755E10</v>
      </c>
      <c r="F53" s="50" t="s">
        <v>966</v>
      </c>
      <c r="G53" s="50" t="s">
        <v>967</v>
      </c>
      <c r="H53" s="50" t="s">
        <v>969</v>
      </c>
      <c r="I53" s="31" t="s">
        <v>164</v>
      </c>
      <c r="J53" s="31" t="s">
        <v>970</v>
      </c>
      <c r="K53" s="51"/>
      <c r="L53" s="52">
        <v>6.284098014E9</v>
      </c>
      <c r="M53" s="51"/>
      <c r="N53" s="7"/>
      <c r="O53" s="7"/>
      <c r="P53" s="7"/>
      <c r="Q53" s="31" t="s">
        <v>974</v>
      </c>
      <c r="R53" s="54"/>
      <c r="S53" s="54"/>
      <c r="T53" s="54"/>
      <c r="U53" s="54"/>
      <c r="V53" s="31" t="s">
        <v>140</v>
      </c>
      <c r="W53" s="51"/>
      <c r="X53" s="55"/>
      <c r="Y53" s="55"/>
      <c r="Z53" s="55"/>
      <c r="AA53" s="22"/>
      <c r="AB53" s="55"/>
      <c r="AC53" s="55"/>
      <c r="AD53" s="55"/>
      <c r="AE53" s="55"/>
      <c r="AF53" s="6">
        <v>5.65191E11</v>
      </c>
    </row>
    <row r="54">
      <c r="A54" s="15">
        <v>402.0</v>
      </c>
      <c r="B54" s="47" t="s">
        <v>265</v>
      </c>
      <c r="C54" s="17" t="s">
        <v>116</v>
      </c>
      <c r="D54" s="48">
        <v>2.025010043689E12</v>
      </c>
      <c r="E54" s="49">
        <v>1.2242524756E10</v>
      </c>
      <c r="F54" s="50" t="s">
        <v>978</v>
      </c>
      <c r="G54" s="50" t="s">
        <v>979</v>
      </c>
      <c r="H54" s="50" t="s">
        <v>980</v>
      </c>
      <c r="I54" s="31" t="s">
        <v>126</v>
      </c>
      <c r="J54" s="31" t="s">
        <v>981</v>
      </c>
      <c r="K54" s="51"/>
      <c r="L54" s="52">
        <v>9.530551434E9</v>
      </c>
      <c r="M54" s="51"/>
      <c r="N54" s="7"/>
      <c r="O54" s="7"/>
      <c r="P54" s="7"/>
      <c r="Q54" s="31" t="s">
        <v>983</v>
      </c>
      <c r="R54" s="53"/>
      <c r="S54" s="54"/>
      <c r="T54" s="54"/>
      <c r="U54" s="54"/>
      <c r="V54" s="31" t="s">
        <v>187</v>
      </c>
      <c r="W54" s="51"/>
      <c r="X54" s="55"/>
      <c r="Y54" s="55"/>
      <c r="Z54" s="55"/>
      <c r="AA54" s="22"/>
      <c r="AB54" s="55"/>
      <c r="AC54" s="55"/>
      <c r="AD54" s="55"/>
      <c r="AE54" s="55"/>
      <c r="AF54" s="6">
        <v>2.6344E11</v>
      </c>
    </row>
    <row r="55">
      <c r="A55" s="15">
        <v>403.0</v>
      </c>
      <c r="B55" s="47" t="s">
        <v>265</v>
      </c>
      <c r="C55" s="17" t="s">
        <v>116</v>
      </c>
      <c r="D55" s="48">
        <v>2.025010043726E12</v>
      </c>
      <c r="E55" s="49">
        <v>1.2242524757E10</v>
      </c>
      <c r="F55" s="50" t="s">
        <v>993</v>
      </c>
      <c r="G55" s="50" t="s">
        <v>994</v>
      </c>
      <c r="H55" s="50" t="s">
        <v>995</v>
      </c>
      <c r="I55" s="31" t="s">
        <v>126</v>
      </c>
      <c r="J55" s="31" t="s">
        <v>996</v>
      </c>
      <c r="K55" s="51"/>
      <c r="L55" s="52">
        <v>9.478022002E9</v>
      </c>
      <c r="M55" s="51"/>
      <c r="N55" s="7"/>
      <c r="O55" s="7"/>
      <c r="P55" s="7"/>
      <c r="Q55" s="31" t="s">
        <v>998</v>
      </c>
      <c r="R55" s="53"/>
      <c r="S55" s="53"/>
      <c r="T55" s="54"/>
      <c r="U55" s="54"/>
      <c r="V55" s="31" t="s">
        <v>187</v>
      </c>
      <c r="W55" s="51"/>
      <c r="X55" s="55"/>
      <c r="Y55" s="55"/>
      <c r="Z55" s="55"/>
      <c r="AA55" s="6"/>
      <c r="AB55" s="55"/>
      <c r="AC55" s="55"/>
      <c r="AD55" s="55"/>
      <c r="AE55" s="55"/>
      <c r="AF55" s="6">
        <v>7.53227E11</v>
      </c>
    </row>
    <row r="56">
      <c r="A56" s="15">
        <v>404.0</v>
      </c>
      <c r="B56" s="47" t="s">
        <v>265</v>
      </c>
      <c r="C56" s="17" t="s">
        <v>116</v>
      </c>
      <c r="D56" s="48">
        <v>2.025010043814E12</v>
      </c>
      <c r="E56" s="49">
        <v>1.2242524758E10</v>
      </c>
      <c r="F56" s="50" t="s">
        <v>847</v>
      </c>
      <c r="G56" s="50" t="s">
        <v>675</v>
      </c>
      <c r="H56" s="50" t="s">
        <v>1005</v>
      </c>
      <c r="I56" s="31" t="s">
        <v>126</v>
      </c>
      <c r="J56" s="31" t="s">
        <v>1006</v>
      </c>
      <c r="K56" s="51"/>
      <c r="L56" s="52">
        <v>7.347606199E9</v>
      </c>
      <c r="M56" s="51"/>
      <c r="N56" s="7"/>
      <c r="O56" s="7"/>
      <c r="P56" s="7"/>
      <c r="Q56" s="31" t="s">
        <v>1008</v>
      </c>
      <c r="R56" s="53"/>
      <c r="S56" s="54"/>
      <c r="T56" s="54"/>
      <c r="U56" s="54"/>
      <c r="V56" s="31" t="s">
        <v>187</v>
      </c>
      <c r="W56" s="51"/>
      <c r="X56" s="55"/>
      <c r="Y56" s="55"/>
      <c r="Z56" s="55"/>
      <c r="AA56" s="18"/>
      <c r="AB56" s="55"/>
      <c r="AC56" s="55"/>
      <c r="AD56" s="55"/>
      <c r="AE56" s="55"/>
      <c r="AF56" s="6">
        <v>5.98481E11</v>
      </c>
    </row>
    <row r="57">
      <c r="A57" s="15">
        <v>405.0</v>
      </c>
      <c r="B57" s="47" t="s">
        <v>265</v>
      </c>
      <c r="C57" s="17" t="s">
        <v>116</v>
      </c>
      <c r="D57" s="48">
        <v>2.02501004391E12</v>
      </c>
      <c r="E57" s="49">
        <v>1.2242524759E10</v>
      </c>
      <c r="F57" s="50" t="s">
        <v>736</v>
      </c>
      <c r="G57" s="50" t="s">
        <v>1016</v>
      </c>
      <c r="H57" s="50" t="s">
        <v>1017</v>
      </c>
      <c r="I57" s="31" t="s">
        <v>126</v>
      </c>
      <c r="J57" s="31" t="s">
        <v>1018</v>
      </c>
      <c r="K57" s="51"/>
      <c r="L57" s="52">
        <v>7.98661827E9</v>
      </c>
      <c r="M57" s="51"/>
      <c r="N57" s="7"/>
      <c r="O57" s="7"/>
      <c r="P57" s="7"/>
      <c r="Q57" s="31" t="s">
        <v>1019</v>
      </c>
      <c r="R57" s="53"/>
      <c r="S57" s="54"/>
      <c r="T57" s="54"/>
      <c r="U57" s="54"/>
      <c r="V57" s="31" t="s">
        <v>187</v>
      </c>
      <c r="W57" s="51"/>
      <c r="X57" s="55"/>
      <c r="Y57" s="55"/>
      <c r="Z57" s="55"/>
      <c r="AA57" s="61"/>
      <c r="AB57" s="55"/>
      <c r="AC57" s="55"/>
      <c r="AD57" s="55"/>
      <c r="AE57" s="55"/>
      <c r="AF57" s="6">
        <v>2.43735E11</v>
      </c>
    </row>
    <row r="58">
      <c r="A58" s="15">
        <v>406.0</v>
      </c>
      <c r="B58" s="47" t="s">
        <v>265</v>
      </c>
      <c r="C58" s="17" t="s">
        <v>116</v>
      </c>
      <c r="D58" s="48">
        <v>2.025010043994E12</v>
      </c>
      <c r="E58" s="49">
        <v>1.224252476E10</v>
      </c>
      <c r="F58" s="50" t="s">
        <v>1022</v>
      </c>
      <c r="G58" s="50" t="s">
        <v>299</v>
      </c>
      <c r="H58" s="50" t="s">
        <v>458</v>
      </c>
      <c r="I58" s="31" t="s">
        <v>126</v>
      </c>
      <c r="J58" s="31" t="s">
        <v>1025</v>
      </c>
      <c r="K58" s="51"/>
      <c r="L58" s="52">
        <v>7.528873885E9</v>
      </c>
      <c r="M58" s="51"/>
      <c r="N58" s="7"/>
      <c r="O58" s="7"/>
      <c r="P58" s="7"/>
      <c r="Q58" s="31" t="s">
        <v>1028</v>
      </c>
      <c r="R58" s="53"/>
      <c r="S58" s="54"/>
      <c r="T58" s="54"/>
      <c r="U58" s="54"/>
      <c r="V58" s="31" t="s">
        <v>187</v>
      </c>
      <c r="W58" s="51"/>
      <c r="X58" s="55"/>
      <c r="Y58" s="55"/>
      <c r="Z58" s="55"/>
      <c r="AA58" s="12"/>
      <c r="AB58" s="55"/>
      <c r="AC58" s="55"/>
      <c r="AD58" s="55"/>
      <c r="AE58" s="55"/>
      <c r="AF58" s="6">
        <v>4.97353E11</v>
      </c>
    </row>
    <row r="59">
      <c r="A59" s="15">
        <v>407.0</v>
      </c>
      <c r="B59" s="47" t="s">
        <v>265</v>
      </c>
      <c r="C59" s="17" t="s">
        <v>116</v>
      </c>
      <c r="D59" s="48">
        <v>2.025010043995E12</v>
      </c>
      <c r="E59" s="49">
        <v>1.2242524761E10</v>
      </c>
      <c r="F59" s="50" t="s">
        <v>1032</v>
      </c>
      <c r="G59" s="50" t="s">
        <v>1033</v>
      </c>
      <c r="H59" s="50" t="s">
        <v>1034</v>
      </c>
      <c r="I59" s="31" t="s">
        <v>126</v>
      </c>
      <c r="J59" s="31" t="s">
        <v>1035</v>
      </c>
      <c r="K59" s="51"/>
      <c r="L59" s="52">
        <v>7.814117207E9</v>
      </c>
      <c r="M59" s="51"/>
      <c r="N59" s="7"/>
      <c r="O59" s="7"/>
      <c r="P59" s="7"/>
      <c r="Q59" s="31" t="s">
        <v>1040</v>
      </c>
      <c r="R59" s="54"/>
      <c r="S59" s="54"/>
      <c r="T59" s="54"/>
      <c r="U59" s="54"/>
      <c r="V59" s="31" t="s">
        <v>187</v>
      </c>
      <c r="W59" s="51"/>
      <c r="X59" s="55"/>
      <c r="Y59" s="55"/>
      <c r="Z59" s="55"/>
      <c r="AA59" s="22"/>
      <c r="AB59" s="55"/>
      <c r="AC59" s="55"/>
      <c r="AD59" s="55"/>
      <c r="AE59" s="55"/>
      <c r="AF59" s="6">
        <v>6.05224E11</v>
      </c>
    </row>
    <row r="60">
      <c r="A60" s="15">
        <v>408.0</v>
      </c>
      <c r="B60" s="47" t="s">
        <v>265</v>
      </c>
      <c r="C60" s="17" t="s">
        <v>116</v>
      </c>
      <c r="D60" s="48">
        <v>2.025010044059E12</v>
      </c>
      <c r="E60" s="49">
        <v>1.2242524762E10</v>
      </c>
      <c r="F60" s="50" t="s">
        <v>1043</v>
      </c>
      <c r="G60" s="50" t="s">
        <v>675</v>
      </c>
      <c r="H60" s="50" t="s">
        <v>1044</v>
      </c>
      <c r="I60" s="31" t="s">
        <v>164</v>
      </c>
      <c r="J60" s="31" t="s">
        <v>1046</v>
      </c>
      <c r="K60" s="51"/>
      <c r="L60" s="52">
        <v>7.696463164E9</v>
      </c>
      <c r="M60" s="51"/>
      <c r="N60" s="7"/>
      <c r="O60" s="7"/>
      <c r="P60" s="7"/>
      <c r="Q60" s="31" t="s">
        <v>1049</v>
      </c>
      <c r="R60" s="54"/>
      <c r="S60" s="54"/>
      <c r="T60" s="54"/>
      <c r="U60" s="54"/>
      <c r="V60" s="31" t="s">
        <v>140</v>
      </c>
      <c r="W60" s="51"/>
      <c r="X60" s="55"/>
      <c r="Y60" s="55"/>
      <c r="Z60" s="55"/>
      <c r="AA60" s="22"/>
      <c r="AB60" s="55"/>
      <c r="AC60" s="55"/>
      <c r="AD60" s="55"/>
      <c r="AE60" s="55"/>
      <c r="AF60" s="6">
        <v>3.38037E11</v>
      </c>
    </row>
    <row r="61">
      <c r="A61" s="15">
        <v>409.0</v>
      </c>
      <c r="B61" s="47" t="s">
        <v>265</v>
      </c>
      <c r="C61" s="17" t="s">
        <v>116</v>
      </c>
      <c r="D61" s="48">
        <v>2.02501004409E12</v>
      </c>
      <c r="E61" s="49">
        <v>1.2242524763E10</v>
      </c>
      <c r="F61" s="50" t="s">
        <v>1055</v>
      </c>
      <c r="G61" s="50" t="s">
        <v>1056</v>
      </c>
      <c r="H61" s="50" t="s">
        <v>1057</v>
      </c>
      <c r="I61" s="31" t="s">
        <v>126</v>
      </c>
      <c r="J61" s="31" t="s">
        <v>1058</v>
      </c>
      <c r="K61" s="51"/>
      <c r="L61" s="52">
        <v>9.872610968E9</v>
      </c>
      <c r="M61" s="51"/>
      <c r="N61" s="7"/>
      <c r="O61" s="7"/>
      <c r="P61" s="7"/>
      <c r="Q61" s="31" t="s">
        <v>1059</v>
      </c>
      <c r="R61" s="53"/>
      <c r="S61" s="54"/>
      <c r="T61" s="54"/>
      <c r="U61" s="54"/>
      <c r="V61" s="31" t="s">
        <v>187</v>
      </c>
      <c r="W61" s="51"/>
      <c r="X61" s="55"/>
      <c r="Y61" s="55"/>
      <c r="Z61" s="55"/>
      <c r="AA61" s="22"/>
      <c r="AB61" s="55"/>
      <c r="AC61" s="55"/>
      <c r="AD61" s="55"/>
      <c r="AE61" s="55"/>
      <c r="AF61" s="6">
        <v>5.398E11</v>
      </c>
    </row>
    <row r="62">
      <c r="A62" s="15">
        <v>410.0</v>
      </c>
      <c r="B62" s="47" t="s">
        <v>265</v>
      </c>
      <c r="C62" s="17" t="s">
        <v>116</v>
      </c>
      <c r="D62" s="48">
        <v>2.025010044166E12</v>
      </c>
      <c r="E62" s="49">
        <v>1.2242524764E10</v>
      </c>
      <c r="F62" s="50" t="s">
        <v>1065</v>
      </c>
      <c r="G62" s="50" t="s">
        <v>1066</v>
      </c>
      <c r="H62" s="50" t="s">
        <v>1067</v>
      </c>
      <c r="I62" s="31" t="s">
        <v>126</v>
      </c>
      <c r="J62" s="31" t="s">
        <v>1068</v>
      </c>
      <c r="K62" s="51"/>
      <c r="L62" s="52">
        <v>8.968429714E9</v>
      </c>
      <c r="M62" s="51"/>
      <c r="N62" s="7"/>
      <c r="O62" s="7"/>
      <c r="P62" s="7"/>
      <c r="Q62" s="31" t="s">
        <v>1069</v>
      </c>
      <c r="R62" s="53"/>
      <c r="S62" s="54"/>
      <c r="T62" s="54"/>
      <c r="U62" s="54"/>
      <c r="V62" s="31" t="s">
        <v>187</v>
      </c>
      <c r="W62" s="51"/>
      <c r="X62" s="55"/>
      <c r="Y62" s="55"/>
      <c r="Z62" s="55"/>
      <c r="AA62" s="22"/>
      <c r="AB62" s="55"/>
      <c r="AC62" s="55"/>
      <c r="AD62" s="55"/>
      <c r="AE62" s="55"/>
      <c r="AF62" s="6">
        <v>8.13792E11</v>
      </c>
    </row>
    <row r="63">
      <c r="A63" s="15">
        <v>411.0</v>
      </c>
      <c r="B63" s="47" t="s">
        <v>265</v>
      </c>
      <c r="C63" s="17" t="s">
        <v>116</v>
      </c>
      <c r="D63" s="48">
        <v>2.025010044532E12</v>
      </c>
      <c r="E63" s="49">
        <v>1.2242524765E10</v>
      </c>
      <c r="F63" s="50" t="s">
        <v>1075</v>
      </c>
      <c r="G63" s="50" t="s">
        <v>1076</v>
      </c>
      <c r="H63" s="50" t="s">
        <v>1077</v>
      </c>
      <c r="I63" s="31" t="s">
        <v>126</v>
      </c>
      <c r="J63" s="31" t="s">
        <v>1078</v>
      </c>
      <c r="K63" s="51"/>
      <c r="L63" s="52">
        <v>9.888704202E9</v>
      </c>
      <c r="M63" s="51"/>
      <c r="N63" s="7"/>
      <c r="O63" s="7"/>
      <c r="P63" s="7"/>
      <c r="Q63" s="31" t="s">
        <v>1081</v>
      </c>
      <c r="R63" s="53"/>
      <c r="S63" s="54"/>
      <c r="T63" s="54"/>
      <c r="U63" s="54"/>
      <c r="V63" s="31" t="s">
        <v>187</v>
      </c>
      <c r="W63" s="51"/>
      <c r="X63" s="55"/>
      <c r="Y63" s="55"/>
      <c r="Z63" s="55"/>
      <c r="AA63" s="22"/>
      <c r="AB63" s="55"/>
      <c r="AC63" s="55"/>
      <c r="AD63" s="55"/>
      <c r="AE63" s="55"/>
      <c r="AF63" s="6">
        <v>4.73297E11</v>
      </c>
    </row>
    <row r="64">
      <c r="A64" s="15">
        <v>412.0</v>
      </c>
      <c r="B64" s="47" t="s">
        <v>265</v>
      </c>
      <c r="C64" s="17" t="s">
        <v>116</v>
      </c>
      <c r="D64" s="48">
        <v>2.025010044556E12</v>
      </c>
      <c r="E64" s="49">
        <v>1.2242524766E10</v>
      </c>
      <c r="F64" s="50" t="s">
        <v>1084</v>
      </c>
      <c r="G64" s="50" t="s">
        <v>1085</v>
      </c>
      <c r="H64" s="50" t="s">
        <v>1086</v>
      </c>
      <c r="I64" s="31" t="s">
        <v>126</v>
      </c>
      <c r="J64" s="31" t="s">
        <v>1088</v>
      </c>
      <c r="K64" s="51"/>
      <c r="L64" s="52">
        <v>8.84739519E9</v>
      </c>
      <c r="M64" s="51"/>
      <c r="N64" s="7"/>
      <c r="O64" s="7"/>
      <c r="P64" s="7"/>
      <c r="Q64" s="31" t="s">
        <v>1090</v>
      </c>
      <c r="R64" s="53"/>
      <c r="S64" s="54"/>
      <c r="T64" s="54"/>
      <c r="U64" s="54"/>
      <c r="V64" s="31" t="s">
        <v>187</v>
      </c>
      <c r="W64" s="51"/>
      <c r="X64" s="55"/>
      <c r="Y64" s="55"/>
      <c r="Z64" s="55"/>
      <c r="AA64" s="22"/>
      <c r="AB64" s="55"/>
      <c r="AC64" s="55"/>
      <c r="AD64" s="55"/>
      <c r="AE64" s="55"/>
      <c r="AF64" s="6">
        <v>6.98662E11</v>
      </c>
    </row>
    <row r="65">
      <c r="A65" s="15">
        <v>413.0</v>
      </c>
      <c r="B65" s="47" t="s">
        <v>265</v>
      </c>
      <c r="C65" s="17" t="s">
        <v>116</v>
      </c>
      <c r="D65" s="48">
        <v>2.02501004458E12</v>
      </c>
      <c r="E65" s="49">
        <v>1.2242524767E10</v>
      </c>
      <c r="F65" s="50" t="s">
        <v>1094</v>
      </c>
      <c r="G65" s="50" t="s">
        <v>910</v>
      </c>
      <c r="H65" s="50" t="s">
        <v>549</v>
      </c>
      <c r="I65" s="31" t="s">
        <v>164</v>
      </c>
      <c r="J65" s="31" t="s">
        <v>1095</v>
      </c>
      <c r="K65" s="51"/>
      <c r="L65" s="52">
        <v>8.727834977E9</v>
      </c>
      <c r="M65" s="51"/>
      <c r="N65" s="7"/>
      <c r="O65" s="7"/>
      <c r="P65" s="7"/>
      <c r="Q65" s="31" t="s">
        <v>1097</v>
      </c>
      <c r="R65" s="53"/>
      <c r="S65" s="54"/>
      <c r="T65" s="54"/>
      <c r="U65" s="54"/>
      <c r="V65" s="31" t="s">
        <v>140</v>
      </c>
      <c r="W65" s="51"/>
      <c r="X65" s="55"/>
      <c r="Y65" s="55"/>
      <c r="Z65" s="55"/>
      <c r="AA65" s="22"/>
      <c r="AB65" s="55"/>
      <c r="AC65" s="55"/>
      <c r="AD65" s="55"/>
      <c r="AE65" s="55"/>
      <c r="AF65" s="6">
        <v>4.51792E11</v>
      </c>
    </row>
    <row r="66">
      <c r="A66" s="15">
        <v>414.0</v>
      </c>
      <c r="B66" s="47" t="s">
        <v>265</v>
      </c>
      <c r="C66" s="17" t="s">
        <v>116</v>
      </c>
      <c r="D66" s="48">
        <v>2.025010044622E12</v>
      </c>
      <c r="E66" s="49">
        <v>1.2242524769E10</v>
      </c>
      <c r="F66" s="50" t="s">
        <v>1101</v>
      </c>
      <c r="G66" s="50" t="s">
        <v>1102</v>
      </c>
      <c r="H66" s="50" t="s">
        <v>1103</v>
      </c>
      <c r="I66" s="31" t="s">
        <v>164</v>
      </c>
      <c r="J66" s="31" t="s">
        <v>1105</v>
      </c>
      <c r="K66" s="51"/>
      <c r="L66" s="52">
        <v>9.592662236E9</v>
      </c>
      <c r="M66" s="51"/>
      <c r="N66" s="7"/>
      <c r="O66" s="7"/>
      <c r="P66" s="7"/>
      <c r="Q66" s="31" t="s">
        <v>1107</v>
      </c>
      <c r="R66" s="54"/>
      <c r="S66" s="54"/>
      <c r="T66" s="54"/>
      <c r="U66" s="54"/>
      <c r="V66" s="31" t="s">
        <v>140</v>
      </c>
      <c r="W66" s="51"/>
      <c r="X66" s="55"/>
      <c r="Y66" s="55"/>
      <c r="Z66" s="55"/>
      <c r="AA66" s="57"/>
      <c r="AB66" s="55"/>
      <c r="AC66" s="55"/>
      <c r="AD66" s="55"/>
      <c r="AE66" s="55"/>
      <c r="AF66" s="6">
        <v>3.61043E11</v>
      </c>
    </row>
    <row r="67">
      <c r="A67" s="15">
        <v>415.0</v>
      </c>
      <c r="B67" s="47" t="s">
        <v>265</v>
      </c>
      <c r="C67" s="17" t="s">
        <v>116</v>
      </c>
      <c r="D67" s="48">
        <v>2.025010044664E12</v>
      </c>
      <c r="E67" s="49">
        <v>1.224252477E10</v>
      </c>
      <c r="F67" s="50" t="s">
        <v>1113</v>
      </c>
      <c r="G67" s="50" t="s">
        <v>1114</v>
      </c>
      <c r="H67" s="50" t="s">
        <v>491</v>
      </c>
      <c r="I67" s="31" t="s">
        <v>126</v>
      </c>
      <c r="J67" s="31" t="s">
        <v>1115</v>
      </c>
      <c r="K67" s="51"/>
      <c r="L67" s="52">
        <v>7.986415583E9</v>
      </c>
      <c r="M67" s="51"/>
      <c r="N67" s="7"/>
      <c r="O67" s="7"/>
      <c r="P67" s="7"/>
      <c r="Q67" s="31" t="s">
        <v>1117</v>
      </c>
      <c r="R67" s="53"/>
      <c r="S67" s="54"/>
      <c r="T67" s="54"/>
      <c r="U67" s="54"/>
      <c r="V67" s="31" t="s">
        <v>187</v>
      </c>
      <c r="W67" s="51"/>
      <c r="X67" s="55"/>
      <c r="Y67" s="55"/>
      <c r="Z67" s="55"/>
      <c r="AA67" s="60"/>
      <c r="AB67" s="55"/>
      <c r="AC67" s="55"/>
      <c r="AD67" s="55"/>
      <c r="AE67" s="55"/>
      <c r="AF67" s="6">
        <v>3.76738E11</v>
      </c>
    </row>
    <row r="68">
      <c r="A68" s="15">
        <v>416.0</v>
      </c>
      <c r="B68" s="47" t="s">
        <v>265</v>
      </c>
      <c r="C68" s="17" t="s">
        <v>116</v>
      </c>
      <c r="D68" s="48">
        <v>2.025010044811E12</v>
      </c>
      <c r="E68" s="49">
        <v>1.2242524771E10</v>
      </c>
      <c r="F68" s="50" t="s">
        <v>1123</v>
      </c>
      <c r="G68" s="50" t="s">
        <v>707</v>
      </c>
      <c r="H68" s="50" t="s">
        <v>685</v>
      </c>
      <c r="I68" s="31" t="s">
        <v>126</v>
      </c>
      <c r="J68" s="31" t="s">
        <v>1125</v>
      </c>
      <c r="K68" s="51"/>
      <c r="L68" s="52">
        <v>7.743065812E9</v>
      </c>
      <c r="M68" s="51"/>
      <c r="N68" s="7"/>
      <c r="O68" s="7"/>
      <c r="P68" s="7"/>
      <c r="Q68" s="31" t="s">
        <v>1126</v>
      </c>
      <c r="R68" s="54"/>
      <c r="S68" s="54"/>
      <c r="T68" s="54"/>
      <c r="U68" s="54"/>
      <c r="V68" s="31" t="s">
        <v>187</v>
      </c>
      <c r="W68" s="51"/>
      <c r="X68" s="55"/>
      <c r="Y68" s="55"/>
      <c r="Z68" s="55"/>
      <c r="AA68" s="22"/>
      <c r="AB68" s="55"/>
      <c r="AC68" s="55"/>
      <c r="AD68" s="55"/>
      <c r="AE68" s="55"/>
      <c r="AF68" s="6">
        <v>4.75211E11</v>
      </c>
    </row>
    <row r="69">
      <c r="A69" s="15">
        <v>417.0</v>
      </c>
      <c r="B69" s="47" t="s">
        <v>265</v>
      </c>
      <c r="C69" s="17" t="s">
        <v>116</v>
      </c>
      <c r="D69" s="48">
        <v>2.025010044866E12</v>
      </c>
      <c r="E69" s="49">
        <v>1.2242524772E10</v>
      </c>
      <c r="F69" s="50" t="s">
        <v>1131</v>
      </c>
      <c r="G69" s="50" t="s">
        <v>1132</v>
      </c>
      <c r="H69" s="50" t="s">
        <v>1133</v>
      </c>
      <c r="I69" s="31" t="s">
        <v>126</v>
      </c>
      <c r="J69" s="31" t="s">
        <v>1134</v>
      </c>
      <c r="K69" s="51"/>
      <c r="L69" s="52">
        <v>7.009251169E9</v>
      </c>
      <c r="M69" s="51"/>
      <c r="N69" s="7"/>
      <c r="O69" s="7"/>
      <c r="P69" s="7"/>
      <c r="Q69" s="31" t="s">
        <v>1137</v>
      </c>
      <c r="R69" s="53"/>
      <c r="S69" s="54"/>
      <c r="T69" s="54"/>
      <c r="U69" s="54"/>
      <c r="V69" s="31" t="s">
        <v>187</v>
      </c>
      <c r="W69" s="51"/>
      <c r="X69" s="55"/>
      <c r="Y69" s="55"/>
      <c r="Z69" s="55"/>
      <c r="AA69" s="12"/>
      <c r="AB69" s="55"/>
      <c r="AC69" s="55"/>
      <c r="AD69" s="55"/>
      <c r="AE69" s="55"/>
      <c r="AF69" s="6">
        <v>9.54972E11</v>
      </c>
    </row>
    <row r="70">
      <c r="A70" s="15">
        <v>418.0</v>
      </c>
      <c r="B70" s="47" t="s">
        <v>265</v>
      </c>
      <c r="C70" s="17" t="s">
        <v>116</v>
      </c>
      <c r="D70" s="48">
        <v>2.025010044874E12</v>
      </c>
      <c r="E70" s="49">
        <v>1.2242524773E10</v>
      </c>
      <c r="F70" s="50" t="s">
        <v>1139</v>
      </c>
      <c r="G70" s="50" t="s">
        <v>1140</v>
      </c>
      <c r="H70" s="50" t="s">
        <v>1142</v>
      </c>
      <c r="I70" s="31" t="s">
        <v>164</v>
      </c>
      <c r="J70" s="31" t="s">
        <v>1143</v>
      </c>
      <c r="K70" s="51"/>
      <c r="L70" s="52">
        <v>9.464432626E9</v>
      </c>
      <c r="M70" s="51"/>
      <c r="N70" s="7"/>
      <c r="O70" s="7"/>
      <c r="P70" s="7"/>
      <c r="Q70" s="31" t="s">
        <v>1146</v>
      </c>
      <c r="R70" s="53"/>
      <c r="S70" s="54"/>
      <c r="T70" s="54"/>
      <c r="U70" s="54"/>
      <c r="V70" s="31" t="s">
        <v>140</v>
      </c>
      <c r="W70" s="51"/>
      <c r="X70" s="55"/>
      <c r="Y70" s="55"/>
      <c r="Z70" s="55"/>
      <c r="AA70" s="22"/>
      <c r="AB70" s="55"/>
      <c r="AC70" s="55"/>
      <c r="AD70" s="55"/>
      <c r="AE70" s="55"/>
      <c r="AF70" s="6">
        <v>9.99331E11</v>
      </c>
    </row>
    <row r="71">
      <c r="A71" s="15">
        <v>419.0</v>
      </c>
      <c r="B71" s="47" t="s">
        <v>265</v>
      </c>
      <c r="C71" s="17" t="s">
        <v>116</v>
      </c>
      <c r="D71" s="48">
        <v>2.025010044896E12</v>
      </c>
      <c r="E71" s="49">
        <v>1.2242524774E10</v>
      </c>
      <c r="F71" s="50" t="s">
        <v>1151</v>
      </c>
      <c r="G71" s="50" t="s">
        <v>1129</v>
      </c>
      <c r="H71" s="50" t="s">
        <v>549</v>
      </c>
      <c r="I71" s="31" t="s">
        <v>126</v>
      </c>
      <c r="J71" s="31" t="s">
        <v>1152</v>
      </c>
      <c r="K71" s="51"/>
      <c r="L71" s="52">
        <v>9.781896845E9</v>
      </c>
      <c r="M71" s="51"/>
      <c r="N71" s="7"/>
      <c r="O71" s="7"/>
      <c r="P71" s="7"/>
      <c r="Q71" s="31" t="s">
        <v>1155</v>
      </c>
      <c r="R71" s="53"/>
      <c r="S71" s="54"/>
      <c r="T71" s="54"/>
      <c r="U71" s="54"/>
      <c r="V71" s="31" t="s">
        <v>187</v>
      </c>
      <c r="W71" s="51"/>
      <c r="X71" s="55"/>
      <c r="Y71" s="55"/>
      <c r="Z71" s="55"/>
      <c r="AA71" s="22"/>
      <c r="AB71" s="55"/>
      <c r="AC71" s="55"/>
      <c r="AD71" s="55"/>
      <c r="AE71" s="55"/>
      <c r="AF71" s="6">
        <v>3.85261E11</v>
      </c>
    </row>
    <row r="72">
      <c r="A72" s="15">
        <v>420.0</v>
      </c>
      <c r="B72" s="47" t="s">
        <v>265</v>
      </c>
      <c r="C72" s="17" t="s">
        <v>116</v>
      </c>
      <c r="D72" s="48">
        <v>2.025010044908E12</v>
      </c>
      <c r="E72" s="49">
        <v>1.2242524775E10</v>
      </c>
      <c r="F72" s="50" t="s">
        <v>1158</v>
      </c>
      <c r="G72" s="50" t="s">
        <v>1159</v>
      </c>
      <c r="H72" s="50" t="s">
        <v>1161</v>
      </c>
      <c r="I72" s="31" t="s">
        <v>164</v>
      </c>
      <c r="J72" s="31" t="s">
        <v>1162</v>
      </c>
      <c r="K72" s="51"/>
      <c r="L72" s="52">
        <v>9.592091095E9</v>
      </c>
      <c r="M72" s="51"/>
      <c r="N72" s="7"/>
      <c r="O72" s="7"/>
      <c r="P72" s="7"/>
      <c r="Q72" s="31" t="s">
        <v>1163</v>
      </c>
      <c r="R72" s="53"/>
      <c r="S72" s="54"/>
      <c r="T72" s="54"/>
      <c r="U72" s="54"/>
      <c r="V72" s="31" t="s">
        <v>140</v>
      </c>
      <c r="W72" s="51"/>
      <c r="X72" s="55"/>
      <c r="Y72" s="55"/>
      <c r="Z72" s="55"/>
      <c r="AA72" s="22"/>
      <c r="AB72" s="55"/>
      <c r="AC72" s="55"/>
      <c r="AD72" s="55"/>
      <c r="AE72" s="55"/>
      <c r="AF72" s="6">
        <v>5.64294E11</v>
      </c>
    </row>
    <row r="73">
      <c r="A73" s="15">
        <v>421.0</v>
      </c>
      <c r="B73" s="47" t="s">
        <v>265</v>
      </c>
      <c r="C73" s="17" t="s">
        <v>116</v>
      </c>
      <c r="D73" s="48">
        <v>2.025010044924E12</v>
      </c>
      <c r="E73" s="49">
        <v>1.2242524776E10</v>
      </c>
      <c r="F73" s="50" t="s">
        <v>901</v>
      </c>
      <c r="G73" s="50" t="s">
        <v>756</v>
      </c>
      <c r="H73" s="50" t="s">
        <v>1169</v>
      </c>
      <c r="I73" s="31" t="s">
        <v>126</v>
      </c>
      <c r="J73" s="31" t="s">
        <v>1170</v>
      </c>
      <c r="K73" s="51"/>
      <c r="L73" s="52">
        <v>9.779181491E9</v>
      </c>
      <c r="M73" s="51"/>
      <c r="N73" s="7"/>
      <c r="O73" s="7"/>
      <c r="P73" s="7"/>
      <c r="Q73" s="31" t="s">
        <v>1173</v>
      </c>
      <c r="R73" s="54"/>
      <c r="S73" s="54"/>
      <c r="T73" s="54"/>
      <c r="U73" s="54"/>
      <c r="V73" s="31" t="s">
        <v>187</v>
      </c>
      <c r="W73" s="51"/>
      <c r="X73" s="55"/>
      <c r="Y73" s="55"/>
      <c r="Z73" s="55"/>
      <c r="AA73" s="22"/>
      <c r="AB73" s="55"/>
      <c r="AC73" s="55"/>
      <c r="AD73" s="55"/>
      <c r="AE73" s="55"/>
      <c r="AF73" s="6">
        <v>3.13085E11</v>
      </c>
    </row>
    <row r="74">
      <c r="A74" s="15">
        <v>422.0</v>
      </c>
      <c r="B74" s="47" t="s">
        <v>265</v>
      </c>
      <c r="C74" s="17" t="s">
        <v>116</v>
      </c>
      <c r="D74" s="48">
        <v>2.025010045051E12</v>
      </c>
      <c r="E74" s="49">
        <v>1.2242524779E10</v>
      </c>
      <c r="F74" s="50" t="s">
        <v>1177</v>
      </c>
      <c r="G74" s="50" t="s">
        <v>359</v>
      </c>
      <c r="H74" s="50" t="s">
        <v>1178</v>
      </c>
      <c r="I74" s="31" t="s">
        <v>126</v>
      </c>
      <c r="J74" s="31" t="s">
        <v>1179</v>
      </c>
      <c r="K74" s="51"/>
      <c r="L74" s="52">
        <v>9.465273235E9</v>
      </c>
      <c r="M74" s="51"/>
      <c r="N74" s="7"/>
      <c r="O74" s="7"/>
      <c r="P74" s="7"/>
      <c r="Q74" s="31" t="s">
        <v>1182</v>
      </c>
      <c r="R74" s="53"/>
      <c r="S74" s="53"/>
      <c r="T74" s="54"/>
      <c r="U74" s="54"/>
      <c r="V74" s="31" t="s">
        <v>140</v>
      </c>
      <c r="W74" s="51"/>
      <c r="X74" s="55"/>
      <c r="Y74" s="55"/>
      <c r="Z74" s="55"/>
      <c r="AA74" s="22"/>
      <c r="AB74" s="55"/>
      <c r="AC74" s="55"/>
      <c r="AD74" s="55"/>
      <c r="AE74" s="55"/>
      <c r="AF74" s="6">
        <v>9.09359E11</v>
      </c>
    </row>
    <row r="75">
      <c r="A75" s="15">
        <v>423.0</v>
      </c>
      <c r="B75" s="47" t="s">
        <v>265</v>
      </c>
      <c r="C75" s="17" t="s">
        <v>116</v>
      </c>
      <c r="D75" s="48">
        <v>2.02501004517E12</v>
      </c>
      <c r="E75" s="49">
        <v>1.224252478E10</v>
      </c>
      <c r="F75" s="50" t="s">
        <v>1188</v>
      </c>
      <c r="G75" s="50" t="s">
        <v>752</v>
      </c>
      <c r="H75" s="50" t="s">
        <v>360</v>
      </c>
      <c r="I75" s="31" t="s">
        <v>126</v>
      </c>
      <c r="J75" s="31" t="s">
        <v>1189</v>
      </c>
      <c r="K75" s="51"/>
      <c r="L75" s="52">
        <v>9.779298617E9</v>
      </c>
      <c r="M75" s="51"/>
      <c r="N75" s="7"/>
      <c r="O75" s="7"/>
      <c r="P75" s="7"/>
      <c r="Q75" s="31" t="s">
        <v>1191</v>
      </c>
      <c r="R75" s="54"/>
      <c r="S75" s="54"/>
      <c r="T75" s="54"/>
      <c r="U75" s="54"/>
      <c r="V75" s="31" t="s">
        <v>187</v>
      </c>
      <c r="W75" s="51"/>
      <c r="X75" s="55"/>
      <c r="Y75" s="55"/>
      <c r="Z75" s="55"/>
      <c r="AA75" s="22"/>
      <c r="AB75" s="55"/>
      <c r="AC75" s="55"/>
      <c r="AD75" s="55"/>
      <c r="AE75" s="55"/>
      <c r="AF75" s="6">
        <v>7.37198E11</v>
      </c>
    </row>
    <row r="76">
      <c r="A76" s="15">
        <v>424.0</v>
      </c>
      <c r="B76" s="47" t="s">
        <v>265</v>
      </c>
      <c r="C76" s="17" t="s">
        <v>116</v>
      </c>
      <c r="D76" s="48">
        <v>2.025010045339E12</v>
      </c>
      <c r="E76" s="49">
        <v>1.2242524781E10</v>
      </c>
      <c r="F76" s="50" t="s">
        <v>1195</v>
      </c>
      <c r="G76" s="50" t="s">
        <v>1196</v>
      </c>
      <c r="H76" s="50" t="s">
        <v>1198</v>
      </c>
      <c r="I76" s="31" t="s">
        <v>164</v>
      </c>
      <c r="J76" s="31" t="s">
        <v>1200</v>
      </c>
      <c r="K76" s="51"/>
      <c r="L76" s="52">
        <v>9.877355188E9</v>
      </c>
      <c r="M76" s="51"/>
      <c r="N76" s="7"/>
      <c r="O76" s="7"/>
      <c r="P76" s="7"/>
      <c r="Q76" s="31" t="s">
        <v>1201</v>
      </c>
      <c r="R76" s="53"/>
      <c r="S76" s="54"/>
      <c r="T76" s="54"/>
      <c r="U76" s="54"/>
      <c r="V76" s="31" t="s">
        <v>140</v>
      </c>
      <c r="W76" s="51"/>
      <c r="X76" s="55"/>
      <c r="Y76" s="55"/>
      <c r="Z76" s="55"/>
      <c r="AA76" s="22"/>
      <c r="AB76" s="55"/>
      <c r="AC76" s="55"/>
      <c r="AD76" s="55"/>
      <c r="AE76" s="55"/>
      <c r="AF76" s="6">
        <v>5.65924E11</v>
      </c>
    </row>
    <row r="77">
      <c r="A77" s="15">
        <v>425.0</v>
      </c>
      <c r="B77" s="47" t="s">
        <v>265</v>
      </c>
      <c r="C77" s="17" t="s">
        <v>116</v>
      </c>
      <c r="D77" s="48">
        <v>2.025010045391E12</v>
      </c>
      <c r="E77" s="49">
        <v>1.2242524782E10</v>
      </c>
      <c r="F77" s="50" t="s">
        <v>1208</v>
      </c>
      <c r="G77" s="50" t="s">
        <v>1210</v>
      </c>
      <c r="H77" s="50" t="s">
        <v>1211</v>
      </c>
      <c r="I77" s="31" t="s">
        <v>164</v>
      </c>
      <c r="J77" s="31" t="s">
        <v>1212</v>
      </c>
      <c r="K77" s="51"/>
      <c r="L77" s="52">
        <v>9.988124828E9</v>
      </c>
      <c r="M77" s="51"/>
      <c r="N77" s="7"/>
      <c r="O77" s="7"/>
      <c r="P77" s="7"/>
      <c r="Q77" s="31" t="s">
        <v>1213</v>
      </c>
      <c r="R77" s="53"/>
      <c r="S77" s="53"/>
      <c r="T77" s="54"/>
      <c r="U77" s="54"/>
      <c r="V77" s="31" t="s">
        <v>140</v>
      </c>
      <c r="W77" s="51"/>
      <c r="X77" s="55"/>
      <c r="Y77" s="55"/>
      <c r="Z77" s="55"/>
      <c r="AA77" s="57"/>
      <c r="AB77" s="55"/>
      <c r="AC77" s="55"/>
      <c r="AD77" s="55"/>
      <c r="AE77" s="55"/>
      <c r="AF77" s="6">
        <v>8.82716E11</v>
      </c>
    </row>
    <row r="78">
      <c r="A78" s="15">
        <v>426.0</v>
      </c>
      <c r="B78" s="47" t="s">
        <v>265</v>
      </c>
      <c r="C78" s="17" t="s">
        <v>116</v>
      </c>
      <c r="D78" s="48">
        <v>2.025010045482E12</v>
      </c>
      <c r="E78" s="49">
        <v>1.2242524783E10</v>
      </c>
      <c r="F78" s="50" t="s">
        <v>1215</v>
      </c>
      <c r="G78" s="50" t="s">
        <v>1216</v>
      </c>
      <c r="H78" s="50" t="s">
        <v>1217</v>
      </c>
      <c r="I78" s="31" t="s">
        <v>126</v>
      </c>
      <c r="J78" s="31" t="s">
        <v>1219</v>
      </c>
      <c r="K78" s="51"/>
      <c r="L78" s="52">
        <v>7.837210201E9</v>
      </c>
      <c r="M78" s="51"/>
      <c r="N78" s="7"/>
      <c r="O78" s="7"/>
      <c r="P78" s="7"/>
      <c r="Q78" s="31" t="s">
        <v>1221</v>
      </c>
      <c r="R78" s="54"/>
      <c r="S78" s="54"/>
      <c r="T78" s="54"/>
      <c r="U78" s="54"/>
      <c r="V78" s="31" t="s">
        <v>187</v>
      </c>
      <c r="W78" s="51"/>
      <c r="X78" s="55"/>
      <c r="Y78" s="55"/>
      <c r="Z78" s="55"/>
      <c r="AA78" s="60"/>
      <c r="AB78" s="55"/>
      <c r="AC78" s="55"/>
      <c r="AD78" s="55"/>
      <c r="AE78" s="55"/>
      <c r="AF78" s="6">
        <v>2.29755E11</v>
      </c>
    </row>
    <row r="79">
      <c r="A79" s="15">
        <v>427.0</v>
      </c>
      <c r="B79" s="47" t="s">
        <v>265</v>
      </c>
      <c r="C79" s="17" t="s">
        <v>116</v>
      </c>
      <c r="D79" s="48">
        <v>2.025010045716E12</v>
      </c>
      <c r="E79" s="49">
        <v>1.2242524784E10</v>
      </c>
      <c r="F79" s="50" t="s">
        <v>1225</v>
      </c>
      <c r="G79" s="50" t="s">
        <v>456</v>
      </c>
      <c r="H79" s="50" t="s">
        <v>1226</v>
      </c>
      <c r="I79" s="31" t="s">
        <v>164</v>
      </c>
      <c r="J79" s="31" t="s">
        <v>1227</v>
      </c>
      <c r="K79" s="51"/>
      <c r="L79" s="52">
        <v>9.814481172E9</v>
      </c>
      <c r="M79" s="51"/>
      <c r="N79" s="7"/>
      <c r="O79" s="7"/>
      <c r="P79" s="7"/>
      <c r="Q79" s="31" t="s">
        <v>1229</v>
      </c>
      <c r="R79" s="53"/>
      <c r="S79" s="53"/>
      <c r="T79" s="54"/>
      <c r="U79" s="54"/>
      <c r="V79" s="31" t="s">
        <v>140</v>
      </c>
      <c r="W79" s="51"/>
      <c r="X79" s="55"/>
      <c r="Y79" s="55"/>
      <c r="Z79" s="55"/>
      <c r="AA79" s="22"/>
      <c r="AB79" s="55"/>
      <c r="AC79" s="55"/>
      <c r="AD79" s="55"/>
      <c r="AE79" s="55"/>
      <c r="AF79" s="6">
        <v>7.7266E11</v>
      </c>
    </row>
    <row r="80">
      <c r="A80" s="15">
        <v>428.0</v>
      </c>
      <c r="B80" s="47" t="s">
        <v>265</v>
      </c>
      <c r="C80" s="17" t="s">
        <v>116</v>
      </c>
      <c r="D80" s="48">
        <v>2.025010045731E12</v>
      </c>
      <c r="E80" s="49">
        <v>1.2242524785E10</v>
      </c>
      <c r="F80" s="50" t="s">
        <v>317</v>
      </c>
      <c r="G80" s="50" t="s">
        <v>585</v>
      </c>
      <c r="H80" s="50" t="s">
        <v>1233</v>
      </c>
      <c r="I80" s="31" t="s">
        <v>164</v>
      </c>
      <c r="J80" s="31" t="s">
        <v>1235</v>
      </c>
      <c r="K80" s="51"/>
      <c r="L80" s="52">
        <v>7.98614309E9</v>
      </c>
      <c r="M80" s="51"/>
      <c r="N80" s="7"/>
      <c r="O80" s="7"/>
      <c r="P80" s="7"/>
      <c r="Q80" s="31" t="s">
        <v>1238</v>
      </c>
      <c r="R80" s="53"/>
      <c r="S80" s="53"/>
      <c r="T80" s="54"/>
      <c r="U80" s="54"/>
      <c r="V80" s="31" t="s">
        <v>140</v>
      </c>
      <c r="W80" s="51"/>
      <c r="X80" s="55"/>
      <c r="Y80" s="55"/>
      <c r="Z80" s="55"/>
      <c r="AA80" s="22"/>
      <c r="AB80" s="55"/>
      <c r="AC80" s="55"/>
      <c r="AD80" s="55"/>
      <c r="AE80" s="55"/>
      <c r="AF80" s="6">
        <v>5.50413E11</v>
      </c>
    </row>
    <row r="81">
      <c r="A81" s="15">
        <v>429.0</v>
      </c>
      <c r="B81" s="47" t="s">
        <v>265</v>
      </c>
      <c r="C81" s="17" t="s">
        <v>116</v>
      </c>
      <c r="D81" s="48">
        <v>2.025010045735E12</v>
      </c>
      <c r="E81" s="49">
        <v>1.2242524786E10</v>
      </c>
      <c r="F81" s="50" t="s">
        <v>1240</v>
      </c>
      <c r="G81" s="50" t="s">
        <v>354</v>
      </c>
      <c r="H81" s="50" t="s">
        <v>1242</v>
      </c>
      <c r="I81" s="31" t="s">
        <v>126</v>
      </c>
      <c r="J81" s="31" t="s">
        <v>1244</v>
      </c>
      <c r="K81" s="51"/>
      <c r="L81" s="52">
        <v>9.815625006E9</v>
      </c>
      <c r="M81" s="51"/>
      <c r="N81" s="7"/>
      <c r="O81" s="7"/>
      <c r="P81" s="7"/>
      <c r="Q81" s="31" t="s">
        <v>1246</v>
      </c>
      <c r="R81" s="53"/>
      <c r="S81" s="53"/>
      <c r="T81" s="54"/>
      <c r="U81" s="54"/>
      <c r="V81" s="31" t="s">
        <v>187</v>
      </c>
      <c r="W81" s="51"/>
      <c r="X81" s="55"/>
      <c r="Y81" s="55"/>
      <c r="Z81" s="55"/>
      <c r="AA81" s="6"/>
      <c r="AB81" s="55"/>
      <c r="AC81" s="55"/>
      <c r="AD81" s="55"/>
      <c r="AE81" s="55"/>
      <c r="AF81" s="6">
        <v>3.36119E11</v>
      </c>
    </row>
    <row r="82">
      <c r="A82" s="15">
        <v>430.0</v>
      </c>
      <c r="B82" s="47" t="s">
        <v>265</v>
      </c>
      <c r="C82" s="17" t="s">
        <v>116</v>
      </c>
      <c r="D82" s="48">
        <v>2.025010045826E12</v>
      </c>
      <c r="E82" s="49">
        <v>1.2242524787E10</v>
      </c>
      <c r="F82" s="50" t="s">
        <v>869</v>
      </c>
      <c r="G82" s="50" t="s">
        <v>122</v>
      </c>
      <c r="H82" s="50" t="s">
        <v>1250</v>
      </c>
      <c r="I82" s="31" t="s">
        <v>126</v>
      </c>
      <c r="J82" s="31" t="s">
        <v>1251</v>
      </c>
      <c r="K82" s="51"/>
      <c r="L82" s="52">
        <v>9.501895779E9</v>
      </c>
      <c r="M82" s="51"/>
      <c r="N82" s="7"/>
      <c r="O82" s="7"/>
      <c r="P82" s="7"/>
      <c r="Q82" s="31" t="s">
        <v>1254</v>
      </c>
      <c r="R82" s="53"/>
      <c r="S82" s="54"/>
      <c r="T82" s="54"/>
      <c r="U82" s="54"/>
      <c r="V82" s="31" t="s">
        <v>187</v>
      </c>
      <c r="W82" s="51"/>
      <c r="X82" s="55"/>
      <c r="Y82" s="55"/>
      <c r="Z82" s="55"/>
      <c r="AA82" s="18"/>
      <c r="AB82" s="55"/>
      <c r="AC82" s="55"/>
      <c r="AD82" s="55"/>
      <c r="AE82" s="55"/>
      <c r="AF82" s="6">
        <v>4.77928E11</v>
      </c>
    </row>
    <row r="83">
      <c r="A83" s="15">
        <v>431.0</v>
      </c>
      <c r="B83" s="47" t="s">
        <v>265</v>
      </c>
      <c r="C83" s="17" t="s">
        <v>116</v>
      </c>
      <c r="D83" s="48">
        <v>2.025010045835E12</v>
      </c>
      <c r="E83" s="49">
        <v>1.2242524788E10</v>
      </c>
      <c r="F83" s="50" t="s">
        <v>1083</v>
      </c>
      <c r="G83" s="50" t="s">
        <v>1260</v>
      </c>
      <c r="H83" s="50" t="s">
        <v>1261</v>
      </c>
      <c r="I83" s="31" t="s">
        <v>126</v>
      </c>
      <c r="J83" s="31" t="s">
        <v>1262</v>
      </c>
      <c r="K83" s="51"/>
      <c r="L83" s="52">
        <v>9.501418011E9</v>
      </c>
      <c r="M83" s="51"/>
      <c r="N83" s="7"/>
      <c r="O83" s="7"/>
      <c r="P83" s="7"/>
      <c r="Q83" s="31" t="s">
        <v>1263</v>
      </c>
      <c r="R83" s="53"/>
      <c r="S83" s="54"/>
      <c r="T83" s="54"/>
      <c r="U83" s="54"/>
      <c r="V83" s="31" t="s">
        <v>187</v>
      </c>
      <c r="W83" s="51"/>
      <c r="X83" s="55"/>
      <c r="Y83" s="55"/>
      <c r="Z83" s="55"/>
      <c r="AA83" s="61"/>
      <c r="AB83" s="55"/>
      <c r="AC83" s="55"/>
      <c r="AD83" s="55"/>
      <c r="AE83" s="55"/>
      <c r="AF83" s="6">
        <v>8.85631E11</v>
      </c>
    </row>
    <row r="84">
      <c r="A84" s="15">
        <v>432.0</v>
      </c>
      <c r="B84" s="47" t="s">
        <v>265</v>
      </c>
      <c r="C84" s="17" t="s">
        <v>116</v>
      </c>
      <c r="D84" s="48">
        <v>2.025010045849E12</v>
      </c>
      <c r="E84" s="49">
        <v>1.2242524789E10</v>
      </c>
      <c r="F84" s="50" t="s">
        <v>1271</v>
      </c>
      <c r="G84" s="50" t="s">
        <v>1272</v>
      </c>
      <c r="H84" s="50" t="s">
        <v>1273</v>
      </c>
      <c r="I84" s="31" t="s">
        <v>126</v>
      </c>
      <c r="J84" s="31" t="s">
        <v>1274</v>
      </c>
      <c r="K84" s="51"/>
      <c r="L84" s="52">
        <v>7.08763378E9</v>
      </c>
      <c r="M84" s="51"/>
      <c r="N84" s="7"/>
      <c r="O84" s="7"/>
      <c r="P84" s="7"/>
      <c r="Q84" s="31" t="s">
        <v>1275</v>
      </c>
      <c r="R84" s="53"/>
      <c r="S84" s="54"/>
      <c r="T84" s="54"/>
      <c r="U84" s="54"/>
      <c r="V84" s="31" t="s">
        <v>187</v>
      </c>
      <c r="W84" s="51"/>
      <c r="X84" s="55"/>
      <c r="Y84" s="55"/>
      <c r="Z84" s="55"/>
      <c r="AA84" s="12"/>
      <c r="AB84" s="55"/>
      <c r="AC84" s="55"/>
      <c r="AD84" s="55"/>
      <c r="AE84" s="55"/>
      <c r="AF84" s="6">
        <v>4.19347E11</v>
      </c>
    </row>
    <row r="85">
      <c r="A85" s="15">
        <v>433.0</v>
      </c>
      <c r="B85" s="47" t="s">
        <v>265</v>
      </c>
      <c r="C85" s="17" t="s">
        <v>116</v>
      </c>
      <c r="D85" s="48">
        <v>2.025010046011E12</v>
      </c>
      <c r="E85" s="49">
        <v>1.224252479E10</v>
      </c>
      <c r="F85" s="50" t="s">
        <v>1083</v>
      </c>
      <c r="G85" s="50" t="s">
        <v>1282</v>
      </c>
      <c r="H85" s="50" t="s">
        <v>441</v>
      </c>
      <c r="I85" s="31" t="s">
        <v>126</v>
      </c>
      <c r="J85" s="31" t="s">
        <v>1283</v>
      </c>
      <c r="K85" s="51"/>
      <c r="L85" s="52">
        <v>9.780091837E9</v>
      </c>
      <c r="M85" s="51"/>
      <c r="N85" s="7"/>
      <c r="O85" s="7"/>
      <c r="P85" s="7"/>
      <c r="Q85" s="31" t="s">
        <v>1284</v>
      </c>
      <c r="R85" s="53"/>
      <c r="S85" s="54"/>
      <c r="T85" s="54"/>
      <c r="U85" s="54"/>
      <c r="V85" s="31" t="s">
        <v>187</v>
      </c>
      <c r="W85" s="51"/>
      <c r="X85" s="55"/>
      <c r="Y85" s="55"/>
      <c r="Z85" s="55"/>
      <c r="AA85" s="22"/>
      <c r="AB85" s="55"/>
      <c r="AC85" s="55"/>
      <c r="AD85" s="55"/>
      <c r="AE85" s="55"/>
      <c r="AF85" s="6" t="s">
        <v>941</v>
      </c>
    </row>
    <row r="86">
      <c r="A86" s="15">
        <v>434.0</v>
      </c>
      <c r="B86" s="47" t="s">
        <v>265</v>
      </c>
      <c r="C86" s="17" t="s">
        <v>116</v>
      </c>
      <c r="D86" s="48">
        <v>2.025010046067E12</v>
      </c>
      <c r="E86" s="49">
        <v>1.2242524791E10</v>
      </c>
      <c r="F86" s="50" t="s">
        <v>1288</v>
      </c>
      <c r="G86" s="50" t="s">
        <v>1290</v>
      </c>
      <c r="H86" s="50" t="s">
        <v>1291</v>
      </c>
      <c r="I86" s="31" t="s">
        <v>164</v>
      </c>
      <c r="J86" s="31" t="s">
        <v>1293</v>
      </c>
      <c r="K86" s="51"/>
      <c r="L86" s="52">
        <v>9.779660294E9</v>
      </c>
      <c r="M86" s="51"/>
      <c r="N86" s="7"/>
      <c r="O86" s="7"/>
      <c r="P86" s="7"/>
      <c r="Q86" s="31" t="s">
        <v>1294</v>
      </c>
      <c r="R86" s="53"/>
      <c r="S86" s="54"/>
      <c r="T86" s="54"/>
      <c r="U86" s="54"/>
      <c r="V86" s="31" t="s">
        <v>140</v>
      </c>
      <c r="W86" s="51"/>
      <c r="X86" s="55"/>
      <c r="Y86" s="55"/>
      <c r="Z86" s="55"/>
      <c r="AA86" s="22"/>
      <c r="AB86" s="55"/>
      <c r="AC86" s="55"/>
      <c r="AD86" s="55"/>
      <c r="AE86" s="55"/>
      <c r="AF86" s="6">
        <v>6.49477E11</v>
      </c>
    </row>
    <row r="87">
      <c r="A87" s="15">
        <v>435.0</v>
      </c>
      <c r="B87" s="47" t="s">
        <v>265</v>
      </c>
      <c r="C87" s="17" t="s">
        <v>116</v>
      </c>
      <c r="D87" s="48">
        <v>2.025010046091E12</v>
      </c>
      <c r="E87" s="49">
        <v>1.2242524792E10</v>
      </c>
      <c r="F87" s="50" t="s">
        <v>1299</v>
      </c>
      <c r="G87" s="50" t="s">
        <v>1300</v>
      </c>
      <c r="H87" s="50" t="s">
        <v>1301</v>
      </c>
      <c r="I87" s="31" t="s">
        <v>126</v>
      </c>
      <c r="J87" s="31" t="s">
        <v>1302</v>
      </c>
      <c r="K87" s="51"/>
      <c r="L87" s="52">
        <v>9.592231038E9</v>
      </c>
      <c r="M87" s="51"/>
      <c r="N87" s="7"/>
      <c r="O87" s="7"/>
      <c r="P87" s="7"/>
      <c r="Q87" s="31" t="s">
        <v>1305</v>
      </c>
      <c r="R87" s="53"/>
      <c r="S87" s="53"/>
      <c r="T87" s="53"/>
      <c r="U87" s="54"/>
      <c r="V87" s="31" t="s">
        <v>187</v>
      </c>
      <c r="W87" s="51"/>
      <c r="X87" s="55"/>
      <c r="Y87" s="55"/>
      <c r="Z87" s="55"/>
      <c r="AA87" s="22"/>
      <c r="AB87" s="55"/>
      <c r="AC87" s="55"/>
      <c r="AD87" s="55"/>
      <c r="AE87" s="55"/>
      <c r="AF87" s="6">
        <v>7.97289E11</v>
      </c>
    </row>
    <row r="88">
      <c r="A88" s="15">
        <v>436.0</v>
      </c>
      <c r="B88" s="47" t="s">
        <v>265</v>
      </c>
      <c r="C88" s="17" t="s">
        <v>116</v>
      </c>
      <c r="D88" s="48">
        <v>2.025010046186E12</v>
      </c>
      <c r="E88" s="49">
        <v>1.2242524793E10</v>
      </c>
      <c r="F88" s="50" t="s">
        <v>1307</v>
      </c>
      <c r="G88" s="50" t="s">
        <v>1210</v>
      </c>
      <c r="H88" s="50" t="s">
        <v>865</v>
      </c>
      <c r="I88" s="31" t="s">
        <v>126</v>
      </c>
      <c r="J88" s="31" t="s">
        <v>1310</v>
      </c>
      <c r="K88" s="51"/>
      <c r="L88" s="52">
        <v>7.0874647E9</v>
      </c>
      <c r="M88" s="51"/>
      <c r="N88" s="7"/>
      <c r="O88" s="7"/>
      <c r="P88" s="7"/>
      <c r="Q88" s="31" t="s">
        <v>1312</v>
      </c>
      <c r="R88" s="53"/>
      <c r="S88" s="54"/>
      <c r="T88" s="54"/>
      <c r="U88" s="54"/>
      <c r="V88" s="31" t="s">
        <v>187</v>
      </c>
      <c r="W88" s="51"/>
      <c r="X88" s="55"/>
      <c r="Y88" s="55"/>
      <c r="Z88" s="55"/>
      <c r="AA88" s="22"/>
      <c r="AB88" s="55"/>
      <c r="AC88" s="55"/>
      <c r="AD88" s="55"/>
      <c r="AE88" s="55"/>
      <c r="AF88" s="6">
        <v>8.05531E11</v>
      </c>
    </row>
    <row r="89">
      <c r="A89" s="15">
        <v>437.0</v>
      </c>
      <c r="B89" s="47" t="s">
        <v>265</v>
      </c>
      <c r="C89" s="17" t="s">
        <v>116</v>
      </c>
      <c r="D89" s="48">
        <v>2.0250100463E12</v>
      </c>
      <c r="E89" s="49">
        <v>1.2242524794E10</v>
      </c>
      <c r="F89" s="50" t="s">
        <v>1316</v>
      </c>
      <c r="G89" s="50" t="s">
        <v>1317</v>
      </c>
      <c r="H89" s="50" t="s">
        <v>441</v>
      </c>
      <c r="I89" s="31" t="s">
        <v>164</v>
      </c>
      <c r="J89" s="31" t="s">
        <v>1318</v>
      </c>
      <c r="K89" s="51"/>
      <c r="L89" s="52">
        <v>9.041941629E9</v>
      </c>
      <c r="M89" s="51"/>
      <c r="N89" s="7"/>
      <c r="O89" s="7"/>
      <c r="P89" s="7"/>
      <c r="Q89" s="31" t="s">
        <v>1321</v>
      </c>
      <c r="R89" s="53"/>
      <c r="S89" s="54"/>
      <c r="T89" s="54"/>
      <c r="U89" s="54"/>
      <c r="V89" s="31" t="s">
        <v>140</v>
      </c>
      <c r="W89" s="51"/>
      <c r="X89" s="55"/>
      <c r="Y89" s="55"/>
      <c r="Z89" s="55"/>
      <c r="AA89" s="22"/>
      <c r="AB89" s="55"/>
      <c r="AC89" s="55"/>
      <c r="AD89" s="55"/>
      <c r="AE89" s="55"/>
      <c r="AF89" s="6">
        <v>9.46641E11</v>
      </c>
    </row>
    <row r="90">
      <c r="A90" s="15">
        <v>438.0</v>
      </c>
      <c r="B90" s="47" t="s">
        <v>265</v>
      </c>
      <c r="C90" s="17" t="s">
        <v>116</v>
      </c>
      <c r="D90" s="48">
        <v>2.025010046332E12</v>
      </c>
      <c r="E90" s="49">
        <v>1.2242524795E10</v>
      </c>
      <c r="F90" s="50" t="s">
        <v>1325</v>
      </c>
      <c r="G90" s="50" t="s">
        <v>1260</v>
      </c>
      <c r="H90" s="50" t="s">
        <v>1291</v>
      </c>
      <c r="I90" s="31" t="s">
        <v>164</v>
      </c>
      <c r="J90" s="31" t="s">
        <v>1327</v>
      </c>
      <c r="K90" s="51"/>
      <c r="L90" s="52">
        <v>8.872964062E9</v>
      </c>
      <c r="M90" s="51"/>
      <c r="N90" s="7"/>
      <c r="O90" s="7"/>
      <c r="P90" s="7"/>
      <c r="Q90" s="31" t="s">
        <v>1329</v>
      </c>
      <c r="R90" s="53"/>
      <c r="S90" s="54"/>
      <c r="T90" s="54"/>
      <c r="U90" s="54"/>
      <c r="V90" s="31" t="s">
        <v>140</v>
      </c>
      <c r="W90" s="51"/>
      <c r="X90" s="55"/>
      <c r="Y90" s="55"/>
      <c r="Z90" s="55"/>
      <c r="AA90" s="22"/>
      <c r="AB90" s="55"/>
      <c r="AC90" s="55"/>
      <c r="AD90" s="55"/>
      <c r="AE90" s="55"/>
      <c r="AF90" s="6">
        <v>5.33084E11</v>
      </c>
    </row>
    <row r="91">
      <c r="A91" s="15">
        <v>439.0</v>
      </c>
      <c r="B91" s="47" t="s">
        <v>265</v>
      </c>
      <c r="C91" s="17" t="s">
        <v>116</v>
      </c>
      <c r="D91" s="48">
        <v>2.025010046335E12</v>
      </c>
      <c r="E91" s="49">
        <v>1.2242524796E10</v>
      </c>
      <c r="F91" s="50" t="s">
        <v>1333</v>
      </c>
      <c r="G91" s="50" t="s">
        <v>1334</v>
      </c>
      <c r="H91" s="50" t="s">
        <v>1335</v>
      </c>
      <c r="I91" s="31" t="s">
        <v>164</v>
      </c>
      <c r="J91" s="31" t="s">
        <v>1336</v>
      </c>
      <c r="K91" s="51"/>
      <c r="L91" s="52">
        <v>8.3601137E9</v>
      </c>
      <c r="M91" s="51"/>
      <c r="N91" s="7"/>
      <c r="O91" s="7"/>
      <c r="P91" s="7"/>
      <c r="Q91" s="31" t="s">
        <v>1337</v>
      </c>
      <c r="R91" s="53"/>
      <c r="S91" s="53"/>
      <c r="T91" s="54"/>
      <c r="U91" s="54"/>
      <c r="V91" s="31" t="s">
        <v>140</v>
      </c>
      <c r="W91" s="51"/>
      <c r="X91" s="55"/>
      <c r="Y91" s="55"/>
      <c r="Z91" s="55"/>
      <c r="AA91" s="22"/>
      <c r="AB91" s="55"/>
      <c r="AC91" s="55"/>
      <c r="AD91" s="55"/>
      <c r="AE91" s="55"/>
      <c r="AF91" s="6">
        <v>5.54557E11</v>
      </c>
    </row>
    <row r="92">
      <c r="A92" s="15">
        <v>440.0</v>
      </c>
      <c r="B92" s="47" t="s">
        <v>265</v>
      </c>
      <c r="C92" s="17" t="s">
        <v>116</v>
      </c>
      <c r="D92" s="48">
        <v>2.02501004634E12</v>
      </c>
      <c r="E92" s="49">
        <v>1.2242524797E10</v>
      </c>
      <c r="F92" s="50" t="s">
        <v>1343</v>
      </c>
      <c r="G92" s="50" t="s">
        <v>1344</v>
      </c>
      <c r="H92" s="50" t="s">
        <v>1086</v>
      </c>
      <c r="I92" s="31" t="s">
        <v>164</v>
      </c>
      <c r="J92" s="31" t="s">
        <v>1346</v>
      </c>
      <c r="K92" s="51"/>
      <c r="L92" s="52">
        <v>7.508250404E9</v>
      </c>
      <c r="M92" s="51"/>
      <c r="N92" s="7"/>
      <c r="O92" s="7"/>
      <c r="P92" s="7"/>
      <c r="Q92" s="31" t="s">
        <v>1348</v>
      </c>
      <c r="R92" s="53"/>
      <c r="S92" s="54"/>
      <c r="T92" s="54"/>
      <c r="U92" s="54"/>
      <c r="V92" s="31" t="s">
        <v>140</v>
      </c>
      <c r="W92" s="51"/>
      <c r="X92" s="55"/>
      <c r="Y92" s="55"/>
      <c r="Z92" s="55"/>
      <c r="AA92" s="57"/>
      <c r="AB92" s="55"/>
      <c r="AC92" s="55"/>
      <c r="AD92" s="55"/>
      <c r="AE92" s="55"/>
      <c r="AF92" s="6">
        <v>3.20261E11</v>
      </c>
    </row>
    <row r="93">
      <c r="A93" s="15">
        <v>441.0</v>
      </c>
      <c r="B93" s="47" t="s">
        <v>265</v>
      </c>
      <c r="C93" s="17" t="s">
        <v>116</v>
      </c>
      <c r="D93" s="48">
        <v>2.025010047501E12</v>
      </c>
      <c r="E93" s="49">
        <v>1.2242524799E10</v>
      </c>
      <c r="F93" s="50" t="s">
        <v>259</v>
      </c>
      <c r="G93" s="50" t="s">
        <v>1352</v>
      </c>
      <c r="H93" s="50" t="s">
        <v>635</v>
      </c>
      <c r="I93" s="31" t="s">
        <v>126</v>
      </c>
      <c r="J93" s="31" t="s">
        <v>1354</v>
      </c>
      <c r="K93" s="51"/>
      <c r="L93" s="52">
        <v>7.657873944E9</v>
      </c>
      <c r="M93" s="51"/>
      <c r="N93" s="7"/>
      <c r="O93" s="7"/>
      <c r="P93" s="7"/>
      <c r="Q93" s="31" t="s">
        <v>1356</v>
      </c>
      <c r="R93" s="53"/>
      <c r="S93" s="54"/>
      <c r="T93" s="54"/>
      <c r="U93" s="54"/>
      <c r="V93" s="31" t="s">
        <v>187</v>
      </c>
      <c r="W93" s="51"/>
      <c r="X93" s="55"/>
      <c r="Y93" s="55"/>
      <c r="Z93" s="55"/>
      <c r="AA93" s="60"/>
      <c r="AB93" s="55"/>
      <c r="AC93" s="55"/>
      <c r="AD93" s="55"/>
      <c r="AE93" s="55"/>
      <c r="AF93" s="6">
        <v>4.30394E11</v>
      </c>
    </row>
    <row r="94">
      <c r="A94" s="15">
        <v>442.0</v>
      </c>
      <c r="B94" s="47" t="s">
        <v>265</v>
      </c>
      <c r="C94" s="17" t="s">
        <v>116</v>
      </c>
      <c r="D94" s="48">
        <v>2.025010045594E12</v>
      </c>
      <c r="E94" s="49">
        <v>1.22425248E10</v>
      </c>
      <c r="F94" s="50" t="s">
        <v>1359</v>
      </c>
      <c r="G94" s="50" t="s">
        <v>1360</v>
      </c>
      <c r="H94" s="50" t="s">
        <v>1361</v>
      </c>
      <c r="I94" s="31" t="s">
        <v>164</v>
      </c>
      <c r="J94" s="31" t="s">
        <v>1362</v>
      </c>
      <c r="K94" s="51"/>
      <c r="L94" s="52">
        <v>8.87264571E9</v>
      </c>
      <c r="M94" s="51"/>
      <c r="N94" s="7"/>
      <c r="O94" s="7"/>
      <c r="P94" s="7"/>
      <c r="Q94" s="31" t="s">
        <v>1366</v>
      </c>
      <c r="R94" s="53"/>
      <c r="S94" s="54"/>
      <c r="T94" s="54"/>
      <c r="U94" s="54"/>
      <c r="V94" s="31" t="s">
        <v>140</v>
      </c>
      <c r="W94" s="51"/>
      <c r="X94" s="55"/>
      <c r="Y94" s="55"/>
      <c r="Z94" s="55"/>
      <c r="AA94" s="22"/>
      <c r="AB94" s="55"/>
      <c r="AC94" s="55"/>
      <c r="AD94" s="55"/>
      <c r="AE94" s="55"/>
      <c r="AF94" s="6">
        <v>5.53349E11</v>
      </c>
    </row>
    <row r="95">
      <c r="A95" s="15">
        <v>443.0</v>
      </c>
      <c r="B95" s="47" t="s">
        <v>265</v>
      </c>
      <c r="C95" s="17" t="s">
        <v>116</v>
      </c>
      <c r="D95" s="48">
        <v>2.025010045604E12</v>
      </c>
      <c r="E95" s="49">
        <v>1.2242524801E10</v>
      </c>
      <c r="F95" s="50" t="s">
        <v>1370</v>
      </c>
      <c r="G95" s="50" t="s">
        <v>1371</v>
      </c>
      <c r="H95" s="50" t="s">
        <v>1372</v>
      </c>
      <c r="I95" s="31" t="s">
        <v>164</v>
      </c>
      <c r="J95" s="31" t="s">
        <v>1373</v>
      </c>
      <c r="K95" s="51"/>
      <c r="L95" s="52">
        <v>9.988322569E9</v>
      </c>
      <c r="M95" s="51"/>
      <c r="N95" s="7"/>
      <c r="O95" s="7"/>
      <c r="P95" s="7"/>
      <c r="Q95" s="31" t="s">
        <v>1378</v>
      </c>
      <c r="R95" s="53"/>
      <c r="S95" s="54"/>
      <c r="T95" s="54"/>
      <c r="U95" s="54"/>
      <c r="V95" s="31" t="s">
        <v>140</v>
      </c>
      <c r="W95" s="51"/>
      <c r="X95" s="55"/>
      <c r="Y95" s="55"/>
      <c r="Z95" s="55"/>
      <c r="AA95" s="12"/>
      <c r="AB95" s="55"/>
      <c r="AC95" s="55"/>
      <c r="AD95" s="55"/>
      <c r="AE95" s="55"/>
      <c r="AF95" s="6">
        <v>3.83575E11</v>
      </c>
    </row>
    <row r="96">
      <c r="A96" s="15">
        <v>444.0</v>
      </c>
      <c r="B96" s="47" t="s">
        <v>265</v>
      </c>
      <c r="C96" s="17" t="s">
        <v>116</v>
      </c>
      <c r="D96" s="48">
        <v>2.025010045631E12</v>
      </c>
      <c r="E96" s="49">
        <v>1.2242524802E10</v>
      </c>
      <c r="F96" s="50" t="s">
        <v>1381</v>
      </c>
      <c r="G96" s="50" t="s">
        <v>756</v>
      </c>
      <c r="H96" s="50" t="s">
        <v>1382</v>
      </c>
      <c r="I96" s="31" t="s">
        <v>164</v>
      </c>
      <c r="J96" s="31" t="s">
        <v>1384</v>
      </c>
      <c r="K96" s="51"/>
      <c r="L96" s="52">
        <v>9.417780711E9</v>
      </c>
      <c r="M96" s="51"/>
      <c r="N96" s="7"/>
      <c r="O96" s="7"/>
      <c r="P96" s="7"/>
      <c r="Q96" s="31" t="s">
        <v>1385</v>
      </c>
      <c r="R96" s="53"/>
      <c r="S96" s="54"/>
      <c r="T96" s="54"/>
      <c r="U96" s="54"/>
      <c r="V96" s="31" t="s">
        <v>140</v>
      </c>
      <c r="W96" s="51"/>
      <c r="X96" s="55"/>
      <c r="Y96" s="55"/>
      <c r="Z96" s="55"/>
      <c r="AA96" s="22"/>
      <c r="AB96" s="55"/>
      <c r="AC96" s="55"/>
      <c r="AD96" s="55"/>
      <c r="AE96" s="55"/>
      <c r="AF96" s="6">
        <v>4.47766E11</v>
      </c>
    </row>
    <row r="97">
      <c r="A97" s="15">
        <v>445.0</v>
      </c>
      <c r="B97" s="47" t="s">
        <v>265</v>
      </c>
      <c r="C97" s="17" t="s">
        <v>116</v>
      </c>
      <c r="D97" s="48">
        <v>2.02501004565E12</v>
      </c>
      <c r="E97" s="49">
        <v>1.2242524803E10</v>
      </c>
      <c r="F97" s="50" t="s">
        <v>1392</v>
      </c>
      <c r="G97" s="50" t="s">
        <v>1393</v>
      </c>
      <c r="H97" s="50" t="s">
        <v>1394</v>
      </c>
      <c r="I97" s="31" t="s">
        <v>126</v>
      </c>
      <c r="J97" s="31" t="s">
        <v>1395</v>
      </c>
      <c r="K97" s="51"/>
      <c r="L97" s="52">
        <v>7.009481528E9</v>
      </c>
      <c r="M97" s="51"/>
      <c r="N97" s="7"/>
      <c r="O97" s="7"/>
      <c r="P97" s="7"/>
      <c r="Q97" s="31" t="s">
        <v>1397</v>
      </c>
      <c r="R97" s="53"/>
      <c r="S97" s="53"/>
      <c r="T97" s="54"/>
      <c r="U97" s="54"/>
      <c r="V97" s="31" t="s">
        <v>187</v>
      </c>
      <c r="W97" s="51"/>
      <c r="X97" s="55"/>
      <c r="Y97" s="55"/>
      <c r="Z97" s="55"/>
      <c r="AA97" s="22"/>
      <c r="AB97" s="55"/>
      <c r="AC97" s="55"/>
      <c r="AD97" s="55"/>
      <c r="AE97" s="55"/>
      <c r="AF97" s="6">
        <v>8.95193E11</v>
      </c>
    </row>
    <row r="98">
      <c r="A98" s="15">
        <v>446.0</v>
      </c>
      <c r="B98" s="47" t="s">
        <v>265</v>
      </c>
      <c r="C98" s="17" t="s">
        <v>116</v>
      </c>
      <c r="D98" s="48">
        <v>2.025010045668E12</v>
      </c>
      <c r="E98" s="49">
        <v>1.2242524804E10</v>
      </c>
      <c r="F98" s="50" t="s">
        <v>1405</v>
      </c>
      <c r="G98" s="50" t="s">
        <v>384</v>
      </c>
      <c r="H98" s="50" t="s">
        <v>1407</v>
      </c>
      <c r="I98" s="31" t="s">
        <v>126</v>
      </c>
      <c r="J98" s="31" t="s">
        <v>1408</v>
      </c>
      <c r="K98" s="51"/>
      <c r="L98" s="52">
        <v>8.728001653E9</v>
      </c>
      <c r="M98" s="51"/>
      <c r="N98" s="7"/>
      <c r="O98" s="7"/>
      <c r="P98" s="7"/>
      <c r="Q98" s="31" t="s">
        <v>1409</v>
      </c>
      <c r="R98" s="54"/>
      <c r="S98" s="54"/>
      <c r="T98" s="54"/>
      <c r="U98" s="54"/>
      <c r="V98" s="31" t="s">
        <v>187</v>
      </c>
      <c r="W98" s="51"/>
      <c r="X98" s="55"/>
      <c r="Y98" s="55"/>
      <c r="Z98" s="55"/>
      <c r="AA98" s="22"/>
      <c r="AB98" s="55"/>
      <c r="AC98" s="55"/>
      <c r="AD98" s="55"/>
      <c r="AE98" s="55"/>
      <c r="AF98" s="6">
        <v>8.35552E11</v>
      </c>
    </row>
    <row r="99">
      <c r="A99" s="15">
        <v>447.0</v>
      </c>
      <c r="B99" s="47" t="s">
        <v>265</v>
      </c>
      <c r="C99" s="17" t="s">
        <v>116</v>
      </c>
      <c r="D99" s="48">
        <v>2.025010048518E12</v>
      </c>
      <c r="E99" s="49">
        <v>1.2242524806E10</v>
      </c>
      <c r="F99" s="50" t="s">
        <v>1412</v>
      </c>
      <c r="G99" s="50" t="s">
        <v>1413</v>
      </c>
      <c r="H99" s="50" t="s">
        <v>1414</v>
      </c>
      <c r="I99" s="31" t="s">
        <v>164</v>
      </c>
      <c r="J99" s="31" t="s">
        <v>1415</v>
      </c>
      <c r="K99" s="51"/>
      <c r="L99" s="52">
        <v>9.814692345E9</v>
      </c>
      <c r="M99" s="51"/>
      <c r="N99" s="7"/>
      <c r="O99" s="7"/>
      <c r="P99" s="7"/>
      <c r="Q99" s="31" t="s">
        <v>1419</v>
      </c>
      <c r="R99" s="53"/>
      <c r="S99" s="54"/>
      <c r="T99" s="54"/>
      <c r="U99" s="54"/>
      <c r="V99" s="31" t="s">
        <v>140</v>
      </c>
      <c r="W99" s="51"/>
      <c r="X99" s="55"/>
      <c r="Y99" s="55"/>
      <c r="Z99" s="55"/>
      <c r="AA99" s="22"/>
      <c r="AB99" s="55"/>
      <c r="AC99" s="55"/>
      <c r="AD99" s="55"/>
      <c r="AE99" s="55"/>
      <c r="AF99" s="6">
        <v>8.75114E11</v>
      </c>
    </row>
    <row r="100">
      <c r="A100" s="15">
        <v>448.0</v>
      </c>
      <c r="B100" s="47" t="s">
        <v>265</v>
      </c>
      <c r="C100" s="17" t="s">
        <v>116</v>
      </c>
      <c r="D100" s="48">
        <v>2.025010048528E12</v>
      </c>
      <c r="E100" s="49">
        <v>1.2242524807E10</v>
      </c>
      <c r="F100" s="50" t="s">
        <v>1421</v>
      </c>
      <c r="G100" s="50" t="s">
        <v>1422</v>
      </c>
      <c r="H100" s="50" t="s">
        <v>1423</v>
      </c>
      <c r="I100" s="31" t="s">
        <v>126</v>
      </c>
      <c r="J100" s="31" t="s">
        <v>1424</v>
      </c>
      <c r="K100" s="51"/>
      <c r="L100" s="52">
        <v>9.87291831E9</v>
      </c>
      <c r="M100" s="51"/>
      <c r="N100" s="7"/>
      <c r="O100" s="7"/>
      <c r="P100" s="7"/>
      <c r="Q100" s="31" t="s">
        <v>1426</v>
      </c>
      <c r="R100" s="54"/>
      <c r="S100" s="54"/>
      <c r="T100" s="54"/>
      <c r="U100" s="54"/>
      <c r="V100" s="31" t="s">
        <v>187</v>
      </c>
      <c r="W100" s="51"/>
      <c r="X100" s="55"/>
      <c r="Y100" s="55"/>
      <c r="Z100" s="55"/>
      <c r="AA100" s="22"/>
      <c r="AB100" s="55"/>
      <c r="AC100" s="55"/>
      <c r="AD100" s="55"/>
      <c r="AE100" s="55"/>
      <c r="AF100" s="6">
        <v>8.74208E11</v>
      </c>
    </row>
    <row r="101">
      <c r="A101" s="15">
        <v>449.0</v>
      </c>
      <c r="B101" s="47" t="s">
        <v>265</v>
      </c>
      <c r="C101" s="17" t="s">
        <v>116</v>
      </c>
      <c r="D101" s="48">
        <v>2.025010049181E12</v>
      </c>
      <c r="E101" s="49">
        <v>1.2242524808E10</v>
      </c>
      <c r="F101" s="50" t="s">
        <v>1430</v>
      </c>
      <c r="G101" s="50" t="s">
        <v>1196</v>
      </c>
      <c r="H101" s="50" t="s">
        <v>1431</v>
      </c>
      <c r="I101" s="31" t="s">
        <v>126</v>
      </c>
      <c r="J101" s="31" t="s">
        <v>1433</v>
      </c>
      <c r="K101" s="51"/>
      <c r="L101" s="52">
        <v>7.717609501E9</v>
      </c>
      <c r="M101" s="51"/>
      <c r="N101" s="7"/>
      <c r="O101" s="7"/>
      <c r="P101" s="7"/>
      <c r="Q101" s="31" t="s">
        <v>1437</v>
      </c>
      <c r="R101" s="53"/>
      <c r="S101" s="54"/>
      <c r="T101" s="54"/>
      <c r="U101" s="54"/>
      <c r="V101" s="31" t="s">
        <v>187</v>
      </c>
      <c r="W101" s="51"/>
      <c r="X101" s="55"/>
      <c r="Y101" s="55"/>
      <c r="Z101" s="55"/>
      <c r="AA101" s="22"/>
      <c r="AB101" s="55"/>
      <c r="AC101" s="55"/>
      <c r="AD101" s="55"/>
      <c r="AE101" s="55"/>
      <c r="AF101" s="6">
        <v>9.05426E11</v>
      </c>
    </row>
    <row r="102">
      <c r="A102" s="15">
        <v>450.0</v>
      </c>
      <c r="B102" s="47" t="s">
        <v>265</v>
      </c>
      <c r="C102" s="17" t="s">
        <v>116</v>
      </c>
      <c r="D102" s="48">
        <v>2.025010050092E12</v>
      </c>
      <c r="E102" s="49">
        <v>1.2242524809E10</v>
      </c>
      <c r="F102" s="50" t="s">
        <v>1440</v>
      </c>
      <c r="G102" s="50" t="s">
        <v>675</v>
      </c>
      <c r="H102" s="50" t="s">
        <v>1441</v>
      </c>
      <c r="I102" s="31" t="s">
        <v>126</v>
      </c>
      <c r="J102" s="31" t="s">
        <v>1442</v>
      </c>
      <c r="K102" s="51"/>
      <c r="L102" s="52">
        <v>7.814095923E9</v>
      </c>
      <c r="M102" s="51"/>
      <c r="N102" s="7"/>
      <c r="O102" s="7"/>
      <c r="P102" s="7"/>
      <c r="Q102" s="31" t="s">
        <v>1444</v>
      </c>
      <c r="R102" s="53"/>
      <c r="S102" s="53"/>
      <c r="T102" s="53"/>
      <c r="U102" s="54"/>
      <c r="V102" s="31" t="s">
        <v>187</v>
      </c>
      <c r="W102" s="51"/>
      <c r="X102" s="55"/>
      <c r="Y102" s="55"/>
      <c r="Z102" s="55"/>
      <c r="AA102" s="22"/>
      <c r="AB102" s="55"/>
      <c r="AC102" s="55"/>
      <c r="AD102" s="55"/>
      <c r="AE102" s="55"/>
      <c r="AF102" s="6">
        <v>9.3593E11</v>
      </c>
    </row>
    <row r="103">
      <c r="A103" s="15">
        <v>451.0</v>
      </c>
      <c r="B103" s="47" t="s">
        <v>265</v>
      </c>
      <c r="C103" s="17" t="s">
        <v>116</v>
      </c>
      <c r="D103" s="48">
        <v>2.025010050236E12</v>
      </c>
      <c r="E103" s="49">
        <v>1.224252481E10</v>
      </c>
      <c r="F103" s="50" t="s">
        <v>1449</v>
      </c>
      <c r="G103" s="50" t="s">
        <v>1204</v>
      </c>
      <c r="H103" s="50" t="s">
        <v>1451</v>
      </c>
      <c r="I103" s="31" t="s">
        <v>164</v>
      </c>
      <c r="J103" s="31" t="s">
        <v>1453</v>
      </c>
      <c r="K103" s="51"/>
      <c r="L103" s="52">
        <v>8.728905167E9</v>
      </c>
      <c r="M103" s="51"/>
      <c r="N103" s="7"/>
      <c r="O103" s="7"/>
      <c r="P103" s="7"/>
      <c r="Q103" s="31" t="s">
        <v>1456</v>
      </c>
      <c r="R103" s="53"/>
      <c r="S103" s="54"/>
      <c r="T103" s="54"/>
      <c r="U103" s="54"/>
      <c r="V103" s="31" t="s">
        <v>140</v>
      </c>
      <c r="W103" s="51"/>
      <c r="X103" s="55"/>
      <c r="Y103" s="55"/>
      <c r="Z103" s="55"/>
      <c r="AA103" s="57"/>
      <c r="AB103" s="55"/>
      <c r="AC103" s="55"/>
      <c r="AD103" s="55"/>
      <c r="AE103" s="55"/>
      <c r="AF103" s="6">
        <v>8.96376E11</v>
      </c>
    </row>
    <row r="104">
      <c r="A104" s="15">
        <v>452.0</v>
      </c>
      <c r="B104" s="47" t="s">
        <v>265</v>
      </c>
      <c r="C104" s="17" t="s">
        <v>116</v>
      </c>
      <c r="D104" s="48">
        <v>2.025010052265E12</v>
      </c>
      <c r="E104" s="49">
        <v>1.2242524811E10</v>
      </c>
      <c r="F104" s="50" t="s">
        <v>1458</v>
      </c>
      <c r="G104" s="50" t="s">
        <v>1459</v>
      </c>
      <c r="H104" s="50" t="s">
        <v>1460</v>
      </c>
      <c r="I104" s="31" t="s">
        <v>164</v>
      </c>
      <c r="J104" s="31" t="s">
        <v>1461</v>
      </c>
      <c r="K104" s="51"/>
      <c r="L104" s="52">
        <v>7.889242839E9</v>
      </c>
      <c r="M104" s="51"/>
      <c r="N104" s="7"/>
      <c r="O104" s="7"/>
      <c r="P104" s="7"/>
      <c r="Q104" s="31" t="s">
        <v>1466</v>
      </c>
      <c r="R104" s="54"/>
      <c r="S104" s="54"/>
      <c r="T104" s="54"/>
      <c r="U104" s="54"/>
      <c r="V104" s="31" t="s">
        <v>140</v>
      </c>
      <c r="W104" s="51"/>
      <c r="X104" s="55"/>
      <c r="Y104" s="55"/>
      <c r="Z104" s="55"/>
      <c r="AA104" s="60"/>
      <c r="AB104" s="55"/>
      <c r="AC104" s="55"/>
      <c r="AD104" s="55"/>
      <c r="AE104" s="55"/>
      <c r="AF104" s="6">
        <v>6.86418E11</v>
      </c>
    </row>
    <row r="105">
      <c r="A105" s="15">
        <v>453.0</v>
      </c>
      <c r="B105" s="47" t="s">
        <v>265</v>
      </c>
      <c r="C105" s="17" t="s">
        <v>116</v>
      </c>
      <c r="D105" s="48">
        <v>2.025010053072E12</v>
      </c>
      <c r="E105" s="49">
        <v>1.2242524812E10</v>
      </c>
      <c r="F105" s="50" t="s">
        <v>622</v>
      </c>
      <c r="G105" s="50" t="s">
        <v>1471</v>
      </c>
      <c r="H105" s="50" t="s">
        <v>1472</v>
      </c>
      <c r="I105" s="31" t="s">
        <v>126</v>
      </c>
      <c r="J105" s="31" t="s">
        <v>1473</v>
      </c>
      <c r="K105" s="51"/>
      <c r="L105" s="52">
        <v>9.779359761E9</v>
      </c>
      <c r="M105" s="51"/>
      <c r="N105" s="7"/>
      <c r="O105" s="7"/>
      <c r="P105" s="7"/>
      <c r="Q105" s="31" t="s">
        <v>1478</v>
      </c>
      <c r="R105" s="54"/>
      <c r="S105" s="54"/>
      <c r="T105" s="54"/>
      <c r="U105" s="54"/>
      <c r="V105" s="31" t="s">
        <v>187</v>
      </c>
      <c r="W105" s="51"/>
      <c r="X105" s="55"/>
      <c r="Y105" s="55"/>
      <c r="Z105" s="55"/>
      <c r="AA105" s="22"/>
      <c r="AB105" s="55"/>
      <c r="AC105" s="55"/>
      <c r="AD105" s="55"/>
      <c r="AE105" s="55"/>
      <c r="AF105" s="6">
        <v>6.59324E11</v>
      </c>
    </row>
    <row r="106">
      <c r="A106" s="15">
        <v>454.0</v>
      </c>
      <c r="B106" s="47" t="s">
        <v>265</v>
      </c>
      <c r="C106" s="17" t="s">
        <v>116</v>
      </c>
      <c r="D106" s="48">
        <v>2.025010045701E12</v>
      </c>
      <c r="E106" s="49">
        <v>1.2242524813E10</v>
      </c>
      <c r="F106" s="50" t="s">
        <v>1480</v>
      </c>
      <c r="G106" s="50" t="s">
        <v>1481</v>
      </c>
      <c r="H106" s="50" t="s">
        <v>1482</v>
      </c>
      <c r="I106" s="31" t="s">
        <v>126</v>
      </c>
      <c r="J106" s="31" t="s">
        <v>1483</v>
      </c>
      <c r="K106" s="51"/>
      <c r="L106" s="52">
        <v>6.006826698E9</v>
      </c>
      <c r="M106" s="51"/>
      <c r="N106" s="7"/>
      <c r="O106" s="7"/>
      <c r="P106" s="7"/>
      <c r="Q106" s="31" t="s">
        <v>1485</v>
      </c>
      <c r="R106" s="54"/>
      <c r="S106" s="54"/>
      <c r="T106" s="54"/>
      <c r="U106" s="54"/>
      <c r="V106" s="31" t="s">
        <v>187</v>
      </c>
      <c r="W106" s="51"/>
      <c r="X106" s="55"/>
      <c r="Y106" s="55"/>
      <c r="Z106" s="55"/>
      <c r="AA106" s="22"/>
      <c r="AB106" s="55"/>
      <c r="AC106" s="55"/>
      <c r="AD106" s="55"/>
      <c r="AE106" s="55"/>
      <c r="AF106" s="6">
        <v>8.38196E11</v>
      </c>
    </row>
    <row r="107">
      <c r="A107" s="15">
        <v>455.0</v>
      </c>
      <c r="B107" s="47" t="s">
        <v>265</v>
      </c>
      <c r="C107" s="17" t="s">
        <v>116</v>
      </c>
      <c r="D107" s="48">
        <v>2.025010045702E12</v>
      </c>
      <c r="E107" s="49">
        <v>1.2242524814E10</v>
      </c>
      <c r="F107" s="50" t="s">
        <v>1492</v>
      </c>
      <c r="G107" s="50" t="s">
        <v>1493</v>
      </c>
      <c r="H107" s="50" t="s">
        <v>1494</v>
      </c>
      <c r="I107" s="31" t="s">
        <v>126</v>
      </c>
      <c r="J107" s="31" t="s">
        <v>1495</v>
      </c>
      <c r="K107" s="51"/>
      <c r="L107" s="52">
        <v>7.004146088E9</v>
      </c>
      <c r="M107" s="51"/>
      <c r="N107" s="7"/>
      <c r="O107" s="7"/>
      <c r="P107" s="7"/>
      <c r="Q107" s="31" t="s">
        <v>1496</v>
      </c>
      <c r="R107" s="53"/>
      <c r="S107" s="54"/>
      <c r="T107" s="54"/>
      <c r="U107" s="54"/>
      <c r="V107" s="31" t="s">
        <v>187</v>
      </c>
      <c r="W107" s="51"/>
      <c r="X107" s="55"/>
      <c r="Y107" s="55"/>
      <c r="Z107" s="55"/>
      <c r="AA107" s="6"/>
      <c r="AB107" s="55"/>
      <c r="AC107" s="55"/>
      <c r="AD107" s="55"/>
      <c r="AE107" s="55"/>
      <c r="AF107" s="6">
        <v>5.63734E11</v>
      </c>
    </row>
    <row r="108">
      <c r="A108" s="15">
        <v>456.0</v>
      </c>
      <c r="B108" s="47" t="s">
        <v>265</v>
      </c>
      <c r="C108" s="17" t="s">
        <v>116</v>
      </c>
      <c r="D108" s="48">
        <v>2.025010047629E12</v>
      </c>
      <c r="E108" s="49">
        <v>1.2242524815E10</v>
      </c>
      <c r="F108" s="50" t="s">
        <v>1501</v>
      </c>
      <c r="G108" s="50" t="s">
        <v>667</v>
      </c>
      <c r="H108" s="50" t="s">
        <v>1502</v>
      </c>
      <c r="I108" s="31" t="s">
        <v>126</v>
      </c>
      <c r="J108" s="31" t="s">
        <v>1503</v>
      </c>
      <c r="K108" s="51"/>
      <c r="L108" s="52">
        <v>9.431063511E9</v>
      </c>
      <c r="M108" s="51"/>
      <c r="N108" s="7"/>
      <c r="O108" s="7"/>
      <c r="P108" s="7"/>
      <c r="Q108" s="31" t="s">
        <v>1504</v>
      </c>
      <c r="R108" s="54"/>
      <c r="S108" s="54"/>
      <c r="T108" s="54"/>
      <c r="U108" s="54"/>
      <c r="V108" s="31" t="s">
        <v>187</v>
      </c>
      <c r="W108" s="51"/>
      <c r="X108" s="55"/>
      <c r="Y108" s="55"/>
      <c r="Z108" s="55"/>
      <c r="AA108" s="18"/>
      <c r="AB108" s="55"/>
      <c r="AC108" s="55"/>
      <c r="AD108" s="55"/>
      <c r="AE108" s="55"/>
      <c r="AF108" s="6">
        <v>8.36702E11</v>
      </c>
    </row>
    <row r="109">
      <c r="A109" s="15">
        <v>457.0</v>
      </c>
      <c r="B109" s="47" t="s">
        <v>265</v>
      </c>
      <c r="C109" s="17" t="s">
        <v>116</v>
      </c>
      <c r="D109" s="48">
        <v>2.025010047954E12</v>
      </c>
      <c r="E109" s="49">
        <v>1.2242524816E10</v>
      </c>
      <c r="F109" s="50" t="s">
        <v>1509</v>
      </c>
      <c r="G109" s="50" t="s">
        <v>1510</v>
      </c>
      <c r="H109" s="50" t="s">
        <v>1511</v>
      </c>
      <c r="I109" s="31" t="s">
        <v>164</v>
      </c>
      <c r="J109" s="31" t="s">
        <v>1512</v>
      </c>
      <c r="K109" s="51"/>
      <c r="L109" s="52">
        <v>8.264527202E9</v>
      </c>
      <c r="M109" s="51"/>
      <c r="N109" s="7"/>
      <c r="O109" s="7"/>
      <c r="P109" s="7"/>
      <c r="Q109" s="31" t="s">
        <v>1513</v>
      </c>
      <c r="R109" s="53"/>
      <c r="S109" s="54"/>
      <c r="T109" s="54"/>
      <c r="U109" s="54"/>
      <c r="V109" s="31" t="s">
        <v>140</v>
      </c>
      <c r="W109" s="51"/>
      <c r="X109" s="55"/>
      <c r="Y109" s="55"/>
      <c r="Z109" s="55"/>
      <c r="AA109" s="61"/>
      <c r="AB109" s="55"/>
      <c r="AC109" s="55"/>
      <c r="AD109" s="55"/>
      <c r="AE109" s="55"/>
      <c r="AF109" s="6">
        <v>4.4292E11</v>
      </c>
    </row>
    <row r="110">
      <c r="A110" s="15">
        <v>458.0</v>
      </c>
      <c r="B110" s="47" t="s">
        <v>265</v>
      </c>
      <c r="C110" s="17" t="s">
        <v>116</v>
      </c>
      <c r="D110" s="48">
        <v>2.025010045593E12</v>
      </c>
      <c r="E110" s="49">
        <v>1.2242524817E10</v>
      </c>
      <c r="F110" s="50" t="s">
        <v>1518</v>
      </c>
      <c r="G110" s="50" t="s">
        <v>318</v>
      </c>
      <c r="H110" s="50" t="s">
        <v>1520</v>
      </c>
      <c r="I110" s="31" t="s">
        <v>164</v>
      </c>
      <c r="J110" s="31" t="s">
        <v>1521</v>
      </c>
      <c r="K110" s="51"/>
      <c r="L110" s="52">
        <v>9.906280711E9</v>
      </c>
      <c r="M110" s="51"/>
      <c r="N110" s="7"/>
      <c r="O110" s="7"/>
      <c r="P110" s="7"/>
      <c r="Q110" s="31" t="s">
        <v>1523</v>
      </c>
      <c r="R110" s="53"/>
      <c r="S110" s="54"/>
      <c r="T110" s="54"/>
      <c r="U110" s="54"/>
      <c r="V110" s="31" t="s">
        <v>140</v>
      </c>
      <c r="W110" s="51"/>
      <c r="X110" s="55"/>
      <c r="Y110" s="55"/>
      <c r="Z110" s="55"/>
      <c r="AA110" s="12"/>
      <c r="AB110" s="55"/>
      <c r="AC110" s="55"/>
      <c r="AD110" s="55"/>
      <c r="AE110" s="55"/>
      <c r="AF110" s="6">
        <v>3.16165E11</v>
      </c>
    </row>
    <row r="111">
      <c r="A111" s="15">
        <v>459.0</v>
      </c>
      <c r="B111" s="47" t="s">
        <v>265</v>
      </c>
      <c r="C111" s="17" t="s">
        <v>116</v>
      </c>
      <c r="D111" s="48">
        <v>2.025010001491E12</v>
      </c>
      <c r="E111" s="49">
        <v>1.2242524818E10</v>
      </c>
      <c r="F111" s="50" t="s">
        <v>1527</v>
      </c>
      <c r="G111" s="50" t="s">
        <v>217</v>
      </c>
      <c r="H111" s="50" t="s">
        <v>1528</v>
      </c>
      <c r="I111" s="31" t="s">
        <v>164</v>
      </c>
      <c r="J111" s="31" t="s">
        <v>1529</v>
      </c>
      <c r="K111" s="51"/>
      <c r="L111" s="52">
        <v>8.837706095E9</v>
      </c>
      <c r="M111" s="51"/>
      <c r="N111" s="7"/>
      <c r="O111" s="7"/>
      <c r="P111" s="7"/>
      <c r="Q111" s="31" t="s">
        <v>1534</v>
      </c>
      <c r="R111" s="54"/>
      <c r="S111" s="54"/>
      <c r="T111" s="54"/>
      <c r="U111" s="54"/>
      <c r="V111" s="31" t="s">
        <v>140</v>
      </c>
      <c r="W111" s="51"/>
      <c r="X111" s="55"/>
      <c r="Y111" s="55"/>
      <c r="Z111" s="55"/>
      <c r="AA111" s="22"/>
      <c r="AB111" s="55"/>
      <c r="AC111" s="55"/>
      <c r="AD111" s="55"/>
      <c r="AE111" s="55"/>
      <c r="AF111" s="6">
        <v>9.72114E11</v>
      </c>
    </row>
    <row r="112">
      <c r="A112" s="15">
        <v>460.0</v>
      </c>
      <c r="B112" s="47" t="s">
        <v>265</v>
      </c>
      <c r="C112" s="17" t="s">
        <v>116</v>
      </c>
      <c r="D112" s="48">
        <v>2.025010052637E12</v>
      </c>
      <c r="E112" s="49">
        <v>1.2242524819E10</v>
      </c>
      <c r="F112" s="50" t="s">
        <v>1538</v>
      </c>
      <c r="G112" s="50" t="s">
        <v>1539</v>
      </c>
      <c r="H112" s="50" t="s">
        <v>1540</v>
      </c>
      <c r="I112" s="31" t="s">
        <v>164</v>
      </c>
      <c r="J112" s="31" t="s">
        <v>1541</v>
      </c>
      <c r="K112" s="51"/>
      <c r="L112" s="52">
        <v>7.97330979E9</v>
      </c>
      <c r="M112" s="51"/>
      <c r="N112" s="7"/>
      <c r="O112" s="7"/>
      <c r="P112" s="7"/>
      <c r="Q112" s="31" t="s">
        <v>1543</v>
      </c>
      <c r="R112" s="53"/>
      <c r="S112" s="54"/>
      <c r="T112" s="54"/>
      <c r="U112" s="54"/>
      <c r="V112" s="31" t="s">
        <v>140</v>
      </c>
      <c r="W112" s="51"/>
      <c r="X112" s="55"/>
      <c r="Y112" s="55"/>
      <c r="Z112" s="55"/>
      <c r="AA112" s="22"/>
      <c r="AB112" s="55"/>
      <c r="AC112" s="55"/>
      <c r="AD112" s="55"/>
      <c r="AE112" s="55"/>
      <c r="AF112" s="6">
        <v>7.39029E11</v>
      </c>
    </row>
    <row r="113">
      <c r="A113" s="15">
        <v>461.0</v>
      </c>
      <c r="B113" s="47" t="s">
        <v>265</v>
      </c>
      <c r="C113" s="17" t="s">
        <v>116</v>
      </c>
      <c r="D113" s="48">
        <v>2.025010053931E12</v>
      </c>
      <c r="E113" s="49">
        <v>1.224252482E10</v>
      </c>
      <c r="F113" s="50" t="s">
        <v>1551</v>
      </c>
      <c r="G113" s="50" t="s">
        <v>1552</v>
      </c>
      <c r="H113" s="50" t="s">
        <v>1553</v>
      </c>
      <c r="I113" s="31" t="s">
        <v>126</v>
      </c>
      <c r="J113" s="31" t="s">
        <v>1554</v>
      </c>
      <c r="K113" s="51"/>
      <c r="L113" s="52">
        <v>7.889021844E9</v>
      </c>
      <c r="M113" s="51"/>
      <c r="N113" s="7"/>
      <c r="O113" s="7"/>
      <c r="P113" s="7"/>
      <c r="Q113" s="31" t="s">
        <v>1555</v>
      </c>
      <c r="R113" s="53"/>
      <c r="S113" s="53"/>
      <c r="T113" s="54"/>
      <c r="U113" s="54"/>
      <c r="V113" s="31" t="s">
        <v>187</v>
      </c>
      <c r="W113" s="51"/>
      <c r="X113" s="55"/>
      <c r="Y113" s="55"/>
      <c r="Z113" s="55"/>
      <c r="AA113" s="22"/>
      <c r="AB113" s="55"/>
      <c r="AC113" s="55"/>
      <c r="AD113" s="55"/>
      <c r="AE113" s="55"/>
      <c r="AF113" s="6">
        <v>6.6503E11</v>
      </c>
    </row>
    <row r="114">
      <c r="A114" s="15">
        <v>462.0</v>
      </c>
      <c r="B114" s="47" t="s">
        <v>265</v>
      </c>
      <c r="C114" s="17" t="s">
        <v>116</v>
      </c>
      <c r="D114" s="48">
        <v>2.025010053935E12</v>
      </c>
      <c r="E114" s="49">
        <v>1.2242524821E10</v>
      </c>
      <c r="F114" s="50" t="s">
        <v>1558</v>
      </c>
      <c r="G114" s="50" t="s">
        <v>675</v>
      </c>
      <c r="H114" s="50" t="s">
        <v>276</v>
      </c>
      <c r="I114" s="31" t="s">
        <v>126</v>
      </c>
      <c r="J114" s="31" t="s">
        <v>1560</v>
      </c>
      <c r="K114" s="51"/>
      <c r="L114" s="52">
        <v>7.71755923E9</v>
      </c>
      <c r="M114" s="51"/>
      <c r="N114" s="7"/>
      <c r="O114" s="7"/>
      <c r="P114" s="7"/>
      <c r="Q114" s="31" t="s">
        <v>1563</v>
      </c>
      <c r="R114" s="53"/>
      <c r="S114" s="53"/>
      <c r="T114" s="54"/>
      <c r="U114" s="54"/>
      <c r="V114" s="31" t="s">
        <v>187</v>
      </c>
      <c r="W114" s="51"/>
      <c r="X114" s="55"/>
      <c r="Y114" s="55"/>
      <c r="Z114" s="55"/>
      <c r="AA114" s="22"/>
      <c r="AB114" s="55"/>
      <c r="AC114" s="55"/>
      <c r="AD114" s="55"/>
      <c r="AE114" s="55"/>
      <c r="AF114" s="6">
        <v>8.13454E11</v>
      </c>
    </row>
  </sheetData>
  <drawing r:id="rId1"/>
</worksheet>
</file>